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ROJECT SINDY\C&amp;B\project 2\"/>
    </mc:Choice>
  </mc:AlternateContent>
  <xr:revisionPtr revIDLastSave="0" documentId="13_ncr:1_{E2A850BB-6B39-402D-92E6-D01B1386104F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Project_overview" sheetId="1" r:id="rId1"/>
    <sheet name="Employee_Master" sheetId="2" r:id="rId2"/>
    <sheet name="Attendance_Current" sheetId="3" r:id="rId3"/>
    <sheet name="Prior_Month_Payroll" sheetId="4" r:id="rId4"/>
    <sheet name="Payroll_Reconciliation" sheetId="5" r:id="rId5"/>
    <sheet name="Manpower_Cost_Summary" sheetId="6" r:id="rId6"/>
  </sheets>
  <definedNames>
    <definedName name="_xlnm._FilterDatabase" localSheetId="4" hidden="1">Payroll_Reconciliation!$A$2:$R$62</definedName>
  </definedNames>
  <calcPr calcId="191029"/>
</workbook>
</file>

<file path=xl/calcChain.xml><?xml version="1.0" encoding="utf-8"?>
<calcChain xmlns="http://schemas.openxmlformats.org/spreadsheetml/2006/main">
  <c r="B3" i="5" l="1"/>
  <c r="J7" i="5"/>
  <c r="K7" i="5" s="1"/>
  <c r="J33" i="5"/>
  <c r="K33" i="5" s="1"/>
  <c r="J59" i="5"/>
  <c r="K59" i="5" s="1"/>
  <c r="J12" i="5"/>
  <c r="K12" i="5" s="1"/>
  <c r="J38" i="5"/>
  <c r="K38" i="5" s="1"/>
  <c r="J17" i="5"/>
  <c r="K17" i="5" s="1"/>
  <c r="J43" i="5"/>
  <c r="K43" i="5" s="1"/>
  <c r="J22" i="5"/>
  <c r="K22" i="5" s="1"/>
  <c r="J48" i="5"/>
  <c r="K48" i="5" s="1"/>
  <c r="J27" i="5"/>
  <c r="K27" i="5" s="1"/>
  <c r="J53" i="5"/>
  <c r="K53" i="5" s="1"/>
  <c r="J6" i="5"/>
  <c r="K6" i="5" s="1"/>
  <c r="J32" i="5"/>
  <c r="K32" i="5" s="1"/>
  <c r="J58" i="5"/>
  <c r="K58" i="5" s="1"/>
  <c r="J11" i="5"/>
  <c r="K11" i="5" s="1"/>
  <c r="J37" i="5"/>
  <c r="K37" i="5" s="1"/>
  <c r="J16" i="5"/>
  <c r="K16" i="5" s="1"/>
  <c r="J42" i="5"/>
  <c r="K42" i="5" s="1"/>
  <c r="J21" i="5"/>
  <c r="K21" i="5" s="1"/>
  <c r="J47" i="5"/>
  <c r="K47" i="5" s="1"/>
  <c r="J26" i="5"/>
  <c r="K26" i="5" s="1"/>
  <c r="J52" i="5"/>
  <c r="K52" i="5" s="1"/>
  <c r="J5" i="5"/>
  <c r="K5" i="5" s="1"/>
  <c r="J31" i="5"/>
  <c r="K31" i="5" s="1"/>
  <c r="J57" i="5"/>
  <c r="K57" i="5" s="1"/>
  <c r="J62" i="5"/>
  <c r="K62" i="5" s="1"/>
  <c r="J15" i="5"/>
  <c r="K15" i="5" s="1"/>
  <c r="J41" i="5"/>
  <c r="K41" i="5" s="1"/>
  <c r="J20" i="5"/>
  <c r="K20" i="5" s="1"/>
  <c r="J36" i="5"/>
  <c r="K36" i="5" s="1"/>
  <c r="J46" i="5"/>
  <c r="K46" i="5" s="1"/>
  <c r="J25" i="5"/>
  <c r="K25" i="5" s="1"/>
  <c r="J4" i="5"/>
  <c r="K4" i="5" s="1"/>
  <c r="J30" i="5"/>
  <c r="K30" i="5" s="1"/>
  <c r="J56" i="5"/>
  <c r="K56" i="5" s="1"/>
  <c r="J9" i="5"/>
  <c r="K9" i="5" s="1"/>
  <c r="J35" i="5"/>
  <c r="K35" i="5" s="1"/>
  <c r="J61" i="5"/>
  <c r="K61" i="5" s="1"/>
  <c r="J14" i="5"/>
  <c r="K14" i="5" s="1"/>
  <c r="J40" i="5"/>
  <c r="K40" i="5" s="1"/>
  <c r="J19" i="5"/>
  <c r="K19" i="5" s="1"/>
  <c r="J45" i="5"/>
  <c r="K45" i="5" s="1"/>
  <c r="J24" i="5"/>
  <c r="K24" i="5" s="1"/>
  <c r="J50" i="5"/>
  <c r="K50" i="5" s="1"/>
  <c r="J3" i="5"/>
  <c r="K3" i="5" s="1"/>
  <c r="J29" i="5"/>
  <c r="K29" i="5" s="1"/>
  <c r="J55" i="5"/>
  <c r="K55" i="5" s="1"/>
  <c r="J8" i="5"/>
  <c r="K8" i="5" s="1"/>
  <c r="J34" i="5"/>
  <c r="K34" i="5" s="1"/>
  <c r="J60" i="5"/>
  <c r="K60" i="5" s="1"/>
  <c r="J51" i="5"/>
  <c r="K51" i="5" s="1"/>
  <c r="J13" i="5"/>
  <c r="K13" i="5" s="1"/>
  <c r="J39" i="5"/>
  <c r="K39" i="5" s="1"/>
  <c r="J18" i="5"/>
  <c r="K18" i="5" s="1"/>
  <c r="J44" i="5"/>
  <c r="K44" i="5" s="1"/>
  <c r="J23" i="5"/>
  <c r="K23" i="5" s="1"/>
  <c r="J49" i="5"/>
  <c r="K49" i="5" s="1"/>
  <c r="J28" i="5"/>
  <c r="K28" i="5" s="1"/>
  <c r="J54" i="5"/>
  <c r="K54" i="5" s="1"/>
  <c r="J10" i="5"/>
  <c r="K10" i="5" s="1"/>
  <c r="O4" i="5" l="1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3" i="5"/>
  <c r="D4" i="5"/>
  <c r="D5" i="5"/>
  <c r="D6" i="5"/>
  <c r="D7" i="5"/>
  <c r="D8" i="5"/>
  <c r="D9" i="5"/>
  <c r="D10" i="5"/>
  <c r="R10" i="5" s="1"/>
  <c r="D11" i="5"/>
  <c r="D12" i="5"/>
  <c r="D13" i="5"/>
  <c r="D14" i="5"/>
  <c r="R14" i="5" s="1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R36" i="5" s="1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R51" i="5" s="1"/>
  <c r="D52" i="5"/>
  <c r="D53" i="5"/>
  <c r="D54" i="5"/>
  <c r="D55" i="5"/>
  <c r="D56" i="5"/>
  <c r="D57" i="5"/>
  <c r="D58" i="5"/>
  <c r="D59" i="5"/>
  <c r="R59" i="5" s="1"/>
  <c r="D60" i="5"/>
  <c r="R60" i="5" s="1"/>
  <c r="D61" i="5"/>
  <c r="R61" i="5" s="1"/>
  <c r="D62" i="5"/>
  <c r="R62" i="5" s="1"/>
  <c r="D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8" i="6" l="1"/>
  <c r="I43" i="5"/>
  <c r="M43" i="5" s="1"/>
  <c r="N43" i="5" s="1"/>
  <c r="P43" i="5" s="1"/>
  <c r="Q43" i="5" s="1"/>
  <c r="R43" i="5" s="1"/>
  <c r="I6" i="5"/>
  <c r="M6" i="5" s="1"/>
  <c r="N6" i="5" s="1"/>
  <c r="P6" i="5" s="1"/>
  <c r="Q6" i="5" s="1"/>
  <c r="R6" i="5" s="1"/>
  <c r="I3" i="5"/>
  <c r="M3" i="5" s="1"/>
  <c r="N3" i="5" s="1"/>
  <c r="P3" i="5" s="1"/>
  <c r="I51" i="5"/>
  <c r="M51" i="5" s="1"/>
  <c r="N51" i="5" s="1"/>
  <c r="P51" i="5" s="1"/>
  <c r="Q51" i="5" s="1"/>
  <c r="I39" i="5"/>
  <c r="M39" i="5" s="1"/>
  <c r="N39" i="5" s="1"/>
  <c r="P39" i="5" s="1"/>
  <c r="Q39" i="5" s="1"/>
  <c r="R39" i="5" s="1"/>
  <c r="I27" i="5"/>
  <c r="M27" i="5" s="1"/>
  <c r="N27" i="5" s="1"/>
  <c r="P27" i="5" s="1"/>
  <c r="Q27" i="5" s="1"/>
  <c r="R27" i="5" s="1"/>
  <c r="I15" i="5"/>
  <c r="M15" i="5" s="1"/>
  <c r="N15" i="5" s="1"/>
  <c r="P15" i="5" s="1"/>
  <c r="Q15" i="5" s="1"/>
  <c r="R15" i="5" s="1"/>
  <c r="I54" i="5"/>
  <c r="M54" i="5" s="1"/>
  <c r="N54" i="5" s="1"/>
  <c r="P54" i="5" s="1"/>
  <c r="Q54" i="5" s="1"/>
  <c r="R54" i="5" s="1"/>
  <c r="I62" i="5"/>
  <c r="M62" i="5" s="1"/>
  <c r="N62" i="5" s="1"/>
  <c r="P62" i="5" s="1"/>
  <c r="Q62" i="5" s="1"/>
  <c r="I50" i="5"/>
  <c r="M50" i="5" s="1"/>
  <c r="N50" i="5" s="1"/>
  <c r="P50" i="5" s="1"/>
  <c r="Q50" i="5" s="1"/>
  <c r="R50" i="5" s="1"/>
  <c r="I38" i="5"/>
  <c r="M38" i="5" s="1"/>
  <c r="N38" i="5" s="1"/>
  <c r="P38" i="5" s="1"/>
  <c r="Q38" i="5" s="1"/>
  <c r="R38" i="5" s="1"/>
  <c r="I26" i="5"/>
  <c r="M26" i="5" s="1"/>
  <c r="N26" i="5" s="1"/>
  <c r="P26" i="5" s="1"/>
  <c r="Q26" i="5" s="1"/>
  <c r="R26" i="5" s="1"/>
  <c r="I14" i="5"/>
  <c r="I31" i="5"/>
  <c r="M31" i="5" s="1"/>
  <c r="N31" i="5" s="1"/>
  <c r="P31" i="5" s="1"/>
  <c r="Q31" i="5" s="1"/>
  <c r="R31" i="5" s="1"/>
  <c r="I30" i="5"/>
  <c r="M30" i="5" s="1"/>
  <c r="N30" i="5" s="1"/>
  <c r="P30" i="5" s="1"/>
  <c r="Q30" i="5" s="1"/>
  <c r="R30" i="5" s="1"/>
  <c r="I61" i="5"/>
  <c r="M61" i="5" s="1"/>
  <c r="N61" i="5" s="1"/>
  <c r="P61" i="5" s="1"/>
  <c r="Q61" i="5" s="1"/>
  <c r="I49" i="5"/>
  <c r="M49" i="5" s="1"/>
  <c r="N49" i="5" s="1"/>
  <c r="P49" i="5" s="1"/>
  <c r="Q49" i="5" s="1"/>
  <c r="R49" i="5" s="1"/>
  <c r="I37" i="5"/>
  <c r="M37" i="5" s="1"/>
  <c r="N37" i="5" s="1"/>
  <c r="P37" i="5" s="1"/>
  <c r="Q37" i="5" s="1"/>
  <c r="R37" i="5" s="1"/>
  <c r="I25" i="5"/>
  <c r="M25" i="5" s="1"/>
  <c r="N25" i="5" s="1"/>
  <c r="P25" i="5" s="1"/>
  <c r="Q25" i="5" s="1"/>
  <c r="R25" i="5" s="1"/>
  <c r="I13" i="5"/>
  <c r="M13" i="5" s="1"/>
  <c r="N13" i="5" s="1"/>
  <c r="P13" i="5" s="1"/>
  <c r="Q13" i="5" s="1"/>
  <c r="R13" i="5" s="1"/>
  <c r="I55" i="5"/>
  <c r="M55" i="5" s="1"/>
  <c r="N55" i="5" s="1"/>
  <c r="P55" i="5" s="1"/>
  <c r="Q55" i="5" s="1"/>
  <c r="R55" i="5" s="1"/>
  <c r="I18" i="5"/>
  <c r="M18" i="5" s="1"/>
  <c r="N18" i="5" s="1"/>
  <c r="P18" i="5" s="1"/>
  <c r="Q18" i="5" s="1"/>
  <c r="R18" i="5" s="1"/>
  <c r="I60" i="5"/>
  <c r="M60" i="5" s="1"/>
  <c r="N60" i="5" s="1"/>
  <c r="P60" i="5" s="1"/>
  <c r="Q60" i="5" s="1"/>
  <c r="I48" i="5"/>
  <c r="M48" i="5" s="1"/>
  <c r="N48" i="5" s="1"/>
  <c r="P48" i="5" s="1"/>
  <c r="Q48" i="5" s="1"/>
  <c r="R48" i="5" s="1"/>
  <c r="I36" i="5"/>
  <c r="I24" i="5"/>
  <c r="M24" i="5" s="1"/>
  <c r="N24" i="5" s="1"/>
  <c r="I12" i="5"/>
  <c r="M12" i="5" s="1"/>
  <c r="N12" i="5" s="1"/>
  <c r="I59" i="5"/>
  <c r="I35" i="5"/>
  <c r="M35" i="5" s="1"/>
  <c r="N35" i="5" s="1"/>
  <c r="P35" i="5" s="1"/>
  <c r="Q35" i="5" s="1"/>
  <c r="R35" i="5" s="1"/>
  <c r="I11" i="5"/>
  <c r="M11" i="5" s="1"/>
  <c r="N11" i="5" s="1"/>
  <c r="P11" i="5" s="1"/>
  <c r="Q11" i="5" s="1"/>
  <c r="R11" i="5" s="1"/>
  <c r="I58" i="5"/>
  <c r="M58" i="5" s="1"/>
  <c r="N58" i="5" s="1"/>
  <c r="P58" i="5" s="1"/>
  <c r="Q58" i="5" s="1"/>
  <c r="R58" i="5" s="1"/>
  <c r="I46" i="5"/>
  <c r="M46" i="5" s="1"/>
  <c r="N46" i="5" s="1"/>
  <c r="P46" i="5" s="1"/>
  <c r="Q46" i="5" s="1"/>
  <c r="R46" i="5" s="1"/>
  <c r="I34" i="5"/>
  <c r="M34" i="5" s="1"/>
  <c r="N34" i="5" s="1"/>
  <c r="P34" i="5" s="1"/>
  <c r="Q34" i="5" s="1"/>
  <c r="R34" i="5" s="1"/>
  <c r="I22" i="5"/>
  <c r="M22" i="5" s="1"/>
  <c r="N22" i="5" s="1"/>
  <c r="P22" i="5" s="1"/>
  <c r="Q22" i="5" s="1"/>
  <c r="R22" i="5" s="1"/>
  <c r="I10" i="5"/>
  <c r="M10" i="5" s="1"/>
  <c r="N10" i="5" s="1"/>
  <c r="P10" i="5" s="1"/>
  <c r="Q10" i="5" s="1"/>
  <c r="I47" i="5"/>
  <c r="M47" i="5" s="1"/>
  <c r="N47" i="5" s="1"/>
  <c r="P47" i="5" s="1"/>
  <c r="Q47" i="5" s="1"/>
  <c r="R47" i="5" s="1"/>
  <c r="I23" i="5"/>
  <c r="M23" i="5" s="1"/>
  <c r="N23" i="5" s="1"/>
  <c r="P23" i="5" s="1"/>
  <c r="Q23" i="5" s="1"/>
  <c r="R23" i="5" s="1"/>
  <c r="I57" i="5"/>
  <c r="M57" i="5" s="1"/>
  <c r="N57" i="5" s="1"/>
  <c r="P57" i="5" s="1"/>
  <c r="Q57" i="5" s="1"/>
  <c r="R57" i="5" s="1"/>
  <c r="I45" i="5"/>
  <c r="M45" i="5" s="1"/>
  <c r="N45" i="5" s="1"/>
  <c r="P45" i="5" s="1"/>
  <c r="Q45" i="5" s="1"/>
  <c r="R45" i="5" s="1"/>
  <c r="I33" i="5"/>
  <c r="M33" i="5" s="1"/>
  <c r="N33" i="5" s="1"/>
  <c r="P33" i="5" s="1"/>
  <c r="Q33" i="5" s="1"/>
  <c r="R33" i="5" s="1"/>
  <c r="I21" i="5"/>
  <c r="M21" i="5" s="1"/>
  <c r="N21" i="5" s="1"/>
  <c r="P21" i="5" s="1"/>
  <c r="Q21" i="5" s="1"/>
  <c r="R21" i="5" s="1"/>
  <c r="I9" i="5"/>
  <c r="M9" i="5" s="1"/>
  <c r="N9" i="5" s="1"/>
  <c r="I56" i="5"/>
  <c r="M56" i="5" s="1"/>
  <c r="N56" i="5" s="1"/>
  <c r="P56" i="5" s="1"/>
  <c r="Q56" i="5" s="1"/>
  <c r="R56" i="5" s="1"/>
  <c r="I44" i="5"/>
  <c r="M44" i="5" s="1"/>
  <c r="N44" i="5" s="1"/>
  <c r="P44" i="5" s="1"/>
  <c r="Q44" i="5" s="1"/>
  <c r="R44" i="5" s="1"/>
  <c r="I32" i="5"/>
  <c r="M32" i="5" s="1"/>
  <c r="N32" i="5" s="1"/>
  <c r="P32" i="5" s="1"/>
  <c r="Q32" i="5" s="1"/>
  <c r="R32" i="5" s="1"/>
  <c r="I20" i="5"/>
  <c r="M20" i="5" s="1"/>
  <c r="N20" i="5" s="1"/>
  <c r="P20" i="5" s="1"/>
  <c r="Q20" i="5" s="1"/>
  <c r="R20" i="5" s="1"/>
  <c r="I8" i="5"/>
  <c r="M8" i="5" s="1"/>
  <c r="N8" i="5" s="1"/>
  <c r="I19" i="5"/>
  <c r="M19" i="5" s="1"/>
  <c r="N19" i="5" s="1"/>
  <c r="I42" i="5"/>
  <c r="M42" i="5" s="1"/>
  <c r="N42" i="5" s="1"/>
  <c r="P42" i="5" s="1"/>
  <c r="Q42" i="5" s="1"/>
  <c r="R42" i="5" s="1"/>
  <c r="I53" i="5"/>
  <c r="M53" i="5" s="1"/>
  <c r="N53" i="5" s="1"/>
  <c r="P53" i="5" s="1"/>
  <c r="Q53" i="5" s="1"/>
  <c r="R53" i="5" s="1"/>
  <c r="I41" i="5"/>
  <c r="M41" i="5" s="1"/>
  <c r="N41" i="5" s="1"/>
  <c r="P41" i="5" s="1"/>
  <c r="Q41" i="5" s="1"/>
  <c r="R41" i="5" s="1"/>
  <c r="I29" i="5"/>
  <c r="M29" i="5" s="1"/>
  <c r="N29" i="5" s="1"/>
  <c r="P29" i="5" s="1"/>
  <c r="Q29" i="5" s="1"/>
  <c r="R29" i="5" s="1"/>
  <c r="I17" i="5"/>
  <c r="M17" i="5" s="1"/>
  <c r="N17" i="5" s="1"/>
  <c r="P17" i="5" s="1"/>
  <c r="Q17" i="5" s="1"/>
  <c r="R17" i="5" s="1"/>
  <c r="I5" i="5"/>
  <c r="M5" i="5" s="1"/>
  <c r="N5" i="5" s="1"/>
  <c r="P5" i="5" s="1"/>
  <c r="Q5" i="5" s="1"/>
  <c r="R5" i="5" s="1"/>
  <c r="I7" i="5"/>
  <c r="M7" i="5" s="1"/>
  <c r="N7" i="5" s="1"/>
  <c r="P7" i="5" s="1"/>
  <c r="Q7" i="5" s="1"/>
  <c r="R7" i="5" s="1"/>
  <c r="G6" i="6"/>
  <c r="I52" i="5"/>
  <c r="M52" i="5" s="1"/>
  <c r="N52" i="5" s="1"/>
  <c r="P52" i="5" s="1"/>
  <c r="Q52" i="5" s="1"/>
  <c r="R52" i="5" s="1"/>
  <c r="I40" i="5"/>
  <c r="M40" i="5" s="1"/>
  <c r="N40" i="5" s="1"/>
  <c r="P40" i="5" s="1"/>
  <c r="Q40" i="5" s="1"/>
  <c r="R40" i="5" s="1"/>
  <c r="I28" i="5"/>
  <c r="M28" i="5" s="1"/>
  <c r="N28" i="5" s="1"/>
  <c r="P28" i="5" s="1"/>
  <c r="Q28" i="5" s="1"/>
  <c r="R28" i="5" s="1"/>
  <c r="I16" i="5"/>
  <c r="M16" i="5" s="1"/>
  <c r="N16" i="5" s="1"/>
  <c r="P16" i="5" s="1"/>
  <c r="Q16" i="5" s="1"/>
  <c r="R16" i="5" s="1"/>
  <c r="I4" i="5"/>
  <c r="M4" i="5" s="1"/>
  <c r="N4" i="5" s="1"/>
  <c r="G4" i="6"/>
  <c r="G9" i="6"/>
  <c r="B4" i="6"/>
  <c r="G8" i="6"/>
  <c r="B9" i="6"/>
  <c r="D4" i="6"/>
  <c r="G7" i="6"/>
  <c r="B7" i="6"/>
  <c r="D8" i="6"/>
  <c r="G5" i="6"/>
  <c r="D9" i="6"/>
  <c r="B6" i="6"/>
  <c r="D7" i="6"/>
  <c r="B5" i="6"/>
  <c r="D6" i="6"/>
  <c r="D5" i="6"/>
  <c r="M59" i="5" l="1"/>
  <c r="N59" i="5" s="1"/>
  <c r="P59" i="5" s="1"/>
  <c r="Q59" i="5" s="1"/>
  <c r="M14" i="5"/>
  <c r="N14" i="5" s="1"/>
  <c r="P14" i="5" s="1"/>
  <c r="Q14" i="5" s="1"/>
  <c r="M36" i="5"/>
  <c r="N36" i="5" s="1"/>
  <c r="P36" i="5" s="1"/>
  <c r="Q36" i="5" s="1"/>
  <c r="I6" i="6"/>
  <c r="H9" i="6"/>
  <c r="H4" i="6"/>
  <c r="P8" i="5"/>
  <c r="C9" i="6"/>
  <c r="P12" i="5"/>
  <c r="C7" i="6"/>
  <c r="P24" i="5"/>
  <c r="Q24" i="5" s="1"/>
  <c r="R24" i="5" s="1"/>
  <c r="P19" i="5"/>
  <c r="C8" i="6"/>
  <c r="P9" i="5"/>
  <c r="Q9" i="5" s="1"/>
  <c r="R9" i="5" s="1"/>
  <c r="C4" i="6"/>
  <c r="P4" i="5"/>
  <c r="C5" i="6"/>
  <c r="H5" i="6"/>
  <c r="H7" i="6"/>
  <c r="E6" i="6"/>
  <c r="F6" i="6" s="1"/>
  <c r="C6" i="6"/>
  <c r="H8" i="6"/>
  <c r="H6" i="6"/>
  <c r="G11" i="6"/>
  <c r="E4" i="6"/>
  <c r="Q3" i="5"/>
  <c r="R3" i="5" s="1"/>
  <c r="I4" i="6" s="1"/>
  <c r="D11" i="6"/>
  <c r="B11" i="6"/>
  <c r="H11" i="6" l="1"/>
  <c r="C11" i="6"/>
  <c r="Q4" i="5"/>
  <c r="R4" i="5" s="1"/>
  <c r="I5" i="6" s="1"/>
  <c r="E5" i="6"/>
  <c r="F5" i="6" s="1"/>
  <c r="Q19" i="5"/>
  <c r="R19" i="5" s="1"/>
  <c r="I8" i="6" s="1"/>
  <c r="E8" i="6"/>
  <c r="F8" i="6" s="1"/>
  <c r="Q12" i="5"/>
  <c r="R12" i="5" s="1"/>
  <c r="I7" i="6" s="1"/>
  <c r="E7" i="6"/>
  <c r="F7" i="6" s="1"/>
  <c r="Q8" i="5"/>
  <c r="R8" i="5" s="1"/>
  <c r="I9" i="6" s="1"/>
  <c r="E9" i="6"/>
  <c r="F9" i="6" s="1"/>
  <c r="F4" i="6"/>
  <c r="I11" i="6" l="1"/>
  <c r="E11" i="6"/>
  <c r="F11" i="6" l="1"/>
</calcChain>
</file>

<file path=xl/sharedStrings.xml><?xml version="1.0" encoding="utf-8"?>
<sst xmlns="http://schemas.openxmlformats.org/spreadsheetml/2006/main" count="561" uniqueCount="184">
  <si>
    <t>Status</t>
  </si>
  <si>
    <t>EMPLOYEE MASTER DATA</t>
  </si>
  <si>
    <t>Employee ID</t>
  </si>
  <si>
    <t>Employee Name</t>
  </si>
  <si>
    <t>Department</t>
  </si>
  <si>
    <t>Grade</t>
  </si>
  <si>
    <t>Join Date</t>
  </si>
  <si>
    <t>Basic Salary</t>
  </si>
  <si>
    <t>Fixed Allowance</t>
  </si>
  <si>
    <t>OT Rate</t>
  </si>
  <si>
    <t>E001</t>
  </si>
  <si>
    <t>Employee 001</t>
  </si>
  <si>
    <t>Production</t>
  </si>
  <si>
    <t>Active</t>
  </si>
  <si>
    <t>G1</t>
  </si>
  <si>
    <t>E002</t>
  </si>
  <si>
    <t>Employee 002</t>
  </si>
  <si>
    <t>Quality Control</t>
  </si>
  <si>
    <t>G2</t>
  </si>
  <si>
    <t>E003</t>
  </si>
  <si>
    <t>Employee 003</t>
  </si>
  <si>
    <t>Warehouse</t>
  </si>
  <si>
    <t>G3</t>
  </si>
  <si>
    <t>E004</t>
  </si>
  <si>
    <t>Employee 004</t>
  </si>
  <si>
    <t>Engineering</t>
  </si>
  <si>
    <t>G4</t>
  </si>
  <si>
    <t>E005</t>
  </si>
  <si>
    <t>Employee 005</t>
  </si>
  <si>
    <t>Finance</t>
  </si>
  <si>
    <t>E006</t>
  </si>
  <si>
    <t>Employee 006</t>
  </si>
  <si>
    <t>HR</t>
  </si>
  <si>
    <t>E007</t>
  </si>
  <si>
    <t>Employee 007</t>
  </si>
  <si>
    <t>E008</t>
  </si>
  <si>
    <t>Employee 008</t>
  </si>
  <si>
    <t>E009</t>
  </si>
  <si>
    <t>Employee 009</t>
  </si>
  <si>
    <t>E010</t>
  </si>
  <si>
    <t>Employee 010</t>
  </si>
  <si>
    <t>E011</t>
  </si>
  <si>
    <t>Employee 011</t>
  </si>
  <si>
    <t>E012</t>
  </si>
  <si>
    <t>Employee 012</t>
  </si>
  <si>
    <t>Resigned</t>
  </si>
  <si>
    <t>E013</t>
  </si>
  <si>
    <t>Employee 013</t>
  </si>
  <si>
    <t>E014</t>
  </si>
  <si>
    <t>Employee 014</t>
  </si>
  <si>
    <t>E015</t>
  </si>
  <si>
    <t>Employee 015</t>
  </si>
  <si>
    <t>E016</t>
  </si>
  <si>
    <t>Employee 016</t>
  </si>
  <si>
    <t>E017</t>
  </si>
  <si>
    <t>Employee 017</t>
  </si>
  <si>
    <t>E018</t>
  </si>
  <si>
    <t>Employee 018</t>
  </si>
  <si>
    <t>E019</t>
  </si>
  <si>
    <t>Employee 019</t>
  </si>
  <si>
    <t>E020</t>
  </si>
  <si>
    <t>Employee 020</t>
  </si>
  <si>
    <t>E021</t>
  </si>
  <si>
    <t>Employee 021</t>
  </si>
  <si>
    <t>E022</t>
  </si>
  <si>
    <t>Employee 022</t>
  </si>
  <si>
    <t>E023</t>
  </si>
  <si>
    <t>Employee 023</t>
  </si>
  <si>
    <t>E024</t>
  </si>
  <si>
    <t>Employee 024</t>
  </si>
  <si>
    <t>E025</t>
  </si>
  <si>
    <t>Employee 025</t>
  </si>
  <si>
    <t>E026</t>
  </si>
  <si>
    <t>Employee 026</t>
  </si>
  <si>
    <t>E027</t>
  </si>
  <si>
    <t>Employee 027</t>
  </si>
  <si>
    <t>E028</t>
  </si>
  <si>
    <t>Employee 028</t>
  </si>
  <si>
    <t>E029</t>
  </si>
  <si>
    <t>Employee 029</t>
  </si>
  <si>
    <t>E030</t>
  </si>
  <si>
    <t>Employee 030</t>
  </si>
  <si>
    <t>E031</t>
  </si>
  <si>
    <t>Employee 031</t>
  </si>
  <si>
    <t>E032</t>
  </si>
  <si>
    <t>Employee 032</t>
  </si>
  <si>
    <t>E033</t>
  </si>
  <si>
    <t>Employee 033</t>
  </si>
  <si>
    <t>E034</t>
  </si>
  <si>
    <t>Employee 034</t>
  </si>
  <si>
    <t>E035</t>
  </si>
  <si>
    <t>Employee 035</t>
  </si>
  <si>
    <t>E036</t>
  </si>
  <si>
    <t>Employee 036</t>
  </si>
  <si>
    <t>E037</t>
  </si>
  <si>
    <t>Employee 037</t>
  </si>
  <si>
    <t>E038</t>
  </si>
  <si>
    <t>Employee 038</t>
  </si>
  <si>
    <t>E039</t>
  </si>
  <si>
    <t>Employee 039</t>
  </si>
  <si>
    <t>E040</t>
  </si>
  <si>
    <t>Employee 040</t>
  </si>
  <si>
    <t>E041</t>
  </si>
  <si>
    <t>Employee 041</t>
  </si>
  <si>
    <t>E042</t>
  </si>
  <si>
    <t>Employee 042</t>
  </si>
  <si>
    <t>E043</t>
  </si>
  <si>
    <t>Employee 043</t>
  </si>
  <si>
    <t>E044</t>
  </si>
  <si>
    <t>Employee 044</t>
  </si>
  <si>
    <t>E045</t>
  </si>
  <si>
    <t>Employee 045</t>
  </si>
  <si>
    <t>E046</t>
  </si>
  <si>
    <t>Employee 046</t>
  </si>
  <si>
    <t>E047</t>
  </si>
  <si>
    <t>Employee 047</t>
  </si>
  <si>
    <t>E048</t>
  </si>
  <si>
    <t>Employee 048</t>
  </si>
  <si>
    <t>E049</t>
  </si>
  <si>
    <t>Employee 049</t>
  </si>
  <si>
    <t>New Joiner</t>
  </si>
  <si>
    <t>E050</t>
  </si>
  <si>
    <t>Employee 050</t>
  </si>
  <si>
    <t>E051</t>
  </si>
  <si>
    <t>Employee 051</t>
  </si>
  <si>
    <t>E052</t>
  </si>
  <si>
    <t>Employee 052</t>
  </si>
  <si>
    <t>E053</t>
  </si>
  <si>
    <t>Employee 053</t>
  </si>
  <si>
    <t>E054</t>
  </si>
  <si>
    <t>Employee 054</t>
  </si>
  <si>
    <t>E055</t>
  </si>
  <si>
    <t>Employee 055</t>
  </si>
  <si>
    <t>E056</t>
  </si>
  <si>
    <t>Employee 056</t>
  </si>
  <si>
    <t>E057</t>
  </si>
  <si>
    <t>Employee 057</t>
  </si>
  <si>
    <t>E058</t>
  </si>
  <si>
    <t>Employee 058</t>
  </si>
  <si>
    <t>E059</t>
  </si>
  <si>
    <t>Employee 059</t>
  </si>
  <si>
    <t>E060</t>
  </si>
  <si>
    <t>Employee 060</t>
  </si>
  <si>
    <t>CURRENT MONTH ATTENDANCE &amp; OVERTIME INPUT</t>
  </si>
  <si>
    <t>Work Days</t>
  </si>
  <si>
    <t>Absent Days</t>
  </si>
  <si>
    <t>Late Count</t>
  </si>
  <si>
    <t>Approved OT Hours</t>
  </si>
  <si>
    <t>Other Deduction</t>
  </si>
  <si>
    <t>PRIOR MONTH PAYROLL — REFERENCE</t>
  </si>
  <si>
    <t>OT Hours</t>
  </si>
  <si>
    <t>OT Pay</t>
  </si>
  <si>
    <t>Attendance Allowance</t>
  </si>
  <si>
    <t>Gross Pay</t>
  </si>
  <si>
    <t>Net Pay</t>
  </si>
  <si>
    <t>CURRENT MONTH PAYROLL RECONCILIATION — COMPLETE THE YELLOW COLUMNS</t>
  </si>
  <si>
    <t>Prior Net Pay</t>
  </si>
  <si>
    <t>Variance</t>
  </si>
  <si>
    <t>Variance %</t>
  </si>
  <si>
    <t>Exception Check</t>
  </si>
  <si>
    <t>DEPARTMENT MANPOWER COST SUMMARY — COMPLETE THE YELLOW CELLS</t>
  </si>
  <si>
    <t>Active HC</t>
  </si>
  <si>
    <t>Current Net Pay</t>
  </si>
  <si>
    <t>Total OT Hours</t>
  </si>
  <si>
    <t>Exception Count</t>
  </si>
  <si>
    <t>Manager Comment</t>
  </si>
  <si>
    <t>TOTAL</t>
  </si>
  <si>
    <t>Analysis</t>
  </si>
  <si>
    <t>Payroll cost remained relatively stable compared with the prior month. One payroll exception should be reviewed before approval.</t>
  </si>
  <si>
    <t>Payroll cost remained relatively stable, but two payroll exceptions should be reviewed before approval.</t>
  </si>
  <si>
    <t>Payroll cost increased slightly compared with the prior month. Two payroll exceptions should be verified before payroll approval.</t>
  </si>
  <si>
    <t>payroll remained relatively stable compared with the prior month, but one payroll exception shoul be reviewed before approval</t>
  </si>
  <si>
    <t>payroll remained relatively stable compared with prior month. However, QC recorded the highest overtime hours among departements, and one exception should be reviewed before approval</t>
  </si>
  <si>
    <t xml:space="preserve">payroll cost remained relatively stable compare with the prior month, but one exception should be review before approval. </t>
  </si>
  <si>
    <t>PAYROLL RECONCILIATION &amp; MANPOWER COST ANALYSIS</t>
  </si>
  <si>
    <t>OBJECTIVE</t>
  </si>
  <si>
    <t>Tools Used</t>
  </si>
  <si>
    <t>Excel Functions</t>
  </si>
  <si>
    <t xml:space="preserve">Desclaimer </t>
  </si>
  <si>
    <t>Compare current and prior-month payroll, identify payroll exceptions, and summarize manpower cost by department.</t>
  </si>
  <si>
    <t>Microsoft Excel</t>
  </si>
  <si>
    <t>VLOOKUP, IF, IFERROR, SUMIFS, COUNTIFS, ABS</t>
  </si>
  <si>
    <t>Payroll reconciliation, variance analysis, overtime review, exception checking, department cost summary</t>
  </si>
  <si>
    <t>All employee data and payroll assumptions are fictional and used for learning and portfolio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</si>
</sst>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F1F1F"/>
      <name val="Carlito"/>
    </font>
    <font>
      <b/>
      <sz val="11"/>
      <name val="Carlito"/>
    </font>
    <font>
      <sz val="11"/>
      <name val="Carlito"/>
    </font>
    <font>
      <b/>
      <sz val="22"/>
      <color rgb="FFFFFFFF"/>
      <name val="Carlito"/>
    </font>
    <font>
      <sz val="22"/>
      <name val="Carlito"/>
    </font>
    <font>
      <sz val="11"/>
      <name val="Carlito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  <xf numFmtId="0" fontId="3" fillId="4" borderId="0" xfId="0" applyFont="1" applyFill="1"/>
    <xf numFmtId="3" fontId="3" fillId="4" borderId="0" xfId="0" applyNumberFormat="1" applyFont="1" applyFill="1"/>
    <xf numFmtId="10" fontId="3" fillId="4" borderId="0" xfId="1" applyNumberFormat="1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0" fillId="0" borderId="0" xfId="0" applyFill="1"/>
    <xf numFmtId="3" fontId="0" fillId="0" borderId="0" xfId="0" applyNumberFormat="1" applyFill="1"/>
    <xf numFmtId="10" fontId="0" fillId="0" borderId="0" xfId="0" applyNumberFormat="1" applyFill="1"/>
    <xf numFmtId="0" fontId="7" fillId="0" borderId="0" xfId="0" applyFont="1" applyFill="1"/>
    <xf numFmtId="3" fontId="7" fillId="0" borderId="0" xfId="0" applyNumberFormat="1" applyFont="1" applyFill="1"/>
    <xf numFmtId="10" fontId="7" fillId="0" borderId="0" xfId="0" applyNumberFormat="1" applyFont="1" applyFill="1"/>
    <xf numFmtId="0" fontId="7" fillId="0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50" zoomScaleNormal="50" workbookViewId="0">
      <selection activeCell="B10" sqref="B10"/>
    </sheetView>
  </sheetViews>
  <sheetFormatPr defaultRowHeight="13.8"/>
  <cols>
    <col min="1" max="1" width="24" customWidth="1"/>
    <col min="2" max="2" width="18" customWidth="1"/>
    <col min="3" max="3" width="34" customWidth="1"/>
    <col min="4" max="4" width="22" customWidth="1"/>
    <col min="5" max="5" width="24" customWidth="1"/>
    <col min="6" max="6" width="12" customWidth="1"/>
    <col min="7" max="7" width="16" customWidth="1"/>
    <col min="8" max="8" width="14" customWidth="1"/>
  </cols>
  <sheetData>
    <row r="1" spans="1:8" ht="75.599999999999994" customHeight="1">
      <c r="A1" s="9" t="s">
        <v>174</v>
      </c>
      <c r="B1" s="10"/>
      <c r="C1" s="10"/>
      <c r="D1" s="10"/>
      <c r="E1" s="10"/>
      <c r="F1" s="10"/>
      <c r="G1" s="10"/>
      <c r="H1" s="10"/>
    </row>
    <row r="3" spans="1:8" ht="23.4" customHeight="1">
      <c r="A3" s="1" t="s">
        <v>175</v>
      </c>
      <c r="B3" t="s">
        <v>179</v>
      </c>
    </row>
    <row r="4" spans="1:8">
      <c r="A4" s="1" t="s">
        <v>176</v>
      </c>
      <c r="B4" t="s">
        <v>180</v>
      </c>
    </row>
    <row r="5" spans="1:8">
      <c r="A5" s="1" t="s">
        <v>177</v>
      </c>
      <c r="B5" t="s">
        <v>181</v>
      </c>
    </row>
    <row r="6" spans="1:8">
      <c r="A6" s="1" t="s">
        <v>167</v>
      </c>
      <c r="B6" t="s">
        <v>182</v>
      </c>
    </row>
    <row r="7" spans="1:8">
      <c r="A7" s="1" t="s">
        <v>178</v>
      </c>
      <c r="B7" t="s">
        <v>183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topLeftCell="A32" zoomScale="60" zoomScaleNormal="60" workbookViewId="0">
      <selection activeCell="L55" sqref="L55"/>
    </sheetView>
  </sheetViews>
  <sheetFormatPr defaultRowHeight="13.8"/>
  <cols>
    <col min="1" max="1" width="12" customWidth="1"/>
    <col min="2" max="2" width="18" customWidth="1"/>
    <col min="3" max="3" width="20" customWidth="1"/>
    <col min="4" max="4" width="14" customWidth="1"/>
    <col min="5" max="5" width="10" customWidth="1"/>
    <col min="6" max="6" width="14" customWidth="1"/>
    <col min="7" max="8" width="16" customWidth="1"/>
    <col min="9" max="9" width="12" customWidth="1"/>
  </cols>
  <sheetData>
    <row r="1" spans="1:9" ht="19.2" customHeight="1">
      <c r="A1" s="7" t="s">
        <v>1</v>
      </c>
      <c r="B1" s="8"/>
      <c r="C1" s="8"/>
      <c r="D1" s="8"/>
      <c r="E1" s="8"/>
      <c r="F1" s="8"/>
      <c r="G1" s="8"/>
      <c r="H1" s="8"/>
      <c r="I1" s="8"/>
    </row>
    <row r="3" spans="1:9" ht="27.6">
      <c r="A3" s="1" t="s">
        <v>2</v>
      </c>
      <c r="B3" s="1" t="s">
        <v>3</v>
      </c>
      <c r="C3" s="1" t="s">
        <v>4</v>
      </c>
      <c r="D3" s="1" t="s">
        <v>0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2">
        <v>43148</v>
      </c>
      <c r="G4" s="3">
        <v>4350000</v>
      </c>
      <c r="H4" s="3">
        <v>500000</v>
      </c>
      <c r="I4" s="3">
        <v>35000</v>
      </c>
    </row>
    <row r="5" spans="1:9">
      <c r="A5" t="s">
        <v>15</v>
      </c>
      <c r="B5" t="s">
        <v>16</v>
      </c>
      <c r="C5" t="s">
        <v>17</v>
      </c>
      <c r="D5" t="s">
        <v>13</v>
      </c>
      <c r="E5" t="s">
        <v>18</v>
      </c>
      <c r="F5" s="2">
        <v>43195</v>
      </c>
      <c r="G5" s="3">
        <v>5500000</v>
      </c>
      <c r="H5" s="3">
        <v>700000</v>
      </c>
      <c r="I5" s="3">
        <v>45000</v>
      </c>
    </row>
    <row r="6" spans="1:9">
      <c r="A6" t="s">
        <v>19</v>
      </c>
      <c r="B6" t="s">
        <v>20</v>
      </c>
      <c r="C6" t="s">
        <v>21</v>
      </c>
      <c r="D6" t="s">
        <v>13</v>
      </c>
      <c r="E6" t="s">
        <v>22</v>
      </c>
      <c r="F6" s="2">
        <v>43242</v>
      </c>
      <c r="G6" s="3">
        <v>6500000</v>
      </c>
      <c r="H6" s="3">
        <v>950000</v>
      </c>
      <c r="I6" s="3">
        <v>55000</v>
      </c>
    </row>
    <row r="7" spans="1:9">
      <c r="A7" t="s">
        <v>23</v>
      </c>
      <c r="B7" t="s">
        <v>24</v>
      </c>
      <c r="C7" t="s">
        <v>25</v>
      </c>
      <c r="D7" t="s">
        <v>13</v>
      </c>
      <c r="E7" t="s">
        <v>26</v>
      </c>
      <c r="F7" s="2">
        <v>43289</v>
      </c>
      <c r="G7" s="3">
        <v>8150000</v>
      </c>
      <c r="H7" s="3">
        <v>1200000</v>
      </c>
      <c r="I7" s="3">
        <v>70000</v>
      </c>
    </row>
    <row r="8" spans="1:9">
      <c r="A8" t="s">
        <v>27</v>
      </c>
      <c r="B8" t="s">
        <v>28</v>
      </c>
      <c r="C8" t="s">
        <v>29</v>
      </c>
      <c r="D8" t="s">
        <v>13</v>
      </c>
      <c r="E8" t="s">
        <v>14</v>
      </c>
      <c r="F8" s="2">
        <v>43336</v>
      </c>
      <c r="G8" s="3">
        <v>4500000</v>
      </c>
      <c r="H8" s="3">
        <v>500000</v>
      </c>
      <c r="I8" s="3">
        <v>35000</v>
      </c>
    </row>
    <row r="9" spans="1:9">
      <c r="A9" t="s">
        <v>30</v>
      </c>
      <c r="B9" t="s">
        <v>31</v>
      </c>
      <c r="C9" t="s">
        <v>32</v>
      </c>
      <c r="D9" t="s">
        <v>13</v>
      </c>
      <c r="E9" t="s">
        <v>18</v>
      </c>
      <c r="F9" s="2">
        <v>43383</v>
      </c>
      <c r="G9" s="3">
        <v>5200000</v>
      </c>
      <c r="H9" s="3">
        <v>700000</v>
      </c>
      <c r="I9" s="3">
        <v>45000</v>
      </c>
    </row>
    <row r="10" spans="1:9">
      <c r="A10" t="s">
        <v>33</v>
      </c>
      <c r="B10" t="s">
        <v>34</v>
      </c>
      <c r="C10" t="s">
        <v>12</v>
      </c>
      <c r="D10" t="s">
        <v>13</v>
      </c>
      <c r="E10" t="s">
        <v>22</v>
      </c>
      <c r="F10" s="2">
        <v>43430</v>
      </c>
      <c r="G10" s="3">
        <v>6650000</v>
      </c>
      <c r="H10" s="3">
        <v>950000</v>
      </c>
      <c r="I10" s="3">
        <v>55000</v>
      </c>
    </row>
    <row r="11" spans="1:9">
      <c r="A11" t="s">
        <v>35</v>
      </c>
      <c r="B11" t="s">
        <v>36</v>
      </c>
      <c r="C11" t="s">
        <v>17</v>
      </c>
      <c r="D11" t="s">
        <v>13</v>
      </c>
      <c r="E11" t="s">
        <v>26</v>
      </c>
      <c r="F11" s="2">
        <v>43477</v>
      </c>
      <c r="G11" s="3">
        <v>8300000</v>
      </c>
      <c r="H11" s="3">
        <v>1200000</v>
      </c>
      <c r="I11" s="3">
        <v>70000</v>
      </c>
    </row>
    <row r="12" spans="1:9">
      <c r="A12" t="s">
        <v>37</v>
      </c>
      <c r="B12" t="s">
        <v>38</v>
      </c>
      <c r="C12" t="s">
        <v>21</v>
      </c>
      <c r="D12" t="s">
        <v>13</v>
      </c>
      <c r="E12" t="s">
        <v>14</v>
      </c>
      <c r="F12" s="2">
        <v>43524</v>
      </c>
      <c r="G12" s="3">
        <v>4200000</v>
      </c>
      <c r="H12" s="3">
        <v>500000</v>
      </c>
      <c r="I12" s="3">
        <v>35000</v>
      </c>
    </row>
    <row r="13" spans="1:9">
      <c r="A13" t="s">
        <v>39</v>
      </c>
      <c r="B13" t="s">
        <v>40</v>
      </c>
      <c r="C13" t="s">
        <v>25</v>
      </c>
      <c r="D13" t="s">
        <v>13</v>
      </c>
      <c r="E13" t="s">
        <v>18</v>
      </c>
      <c r="F13" s="2">
        <v>43571</v>
      </c>
      <c r="G13" s="3">
        <v>5350000</v>
      </c>
      <c r="H13" s="3">
        <v>700000</v>
      </c>
      <c r="I13" s="3">
        <v>45000</v>
      </c>
    </row>
    <row r="14" spans="1:9">
      <c r="A14" t="s">
        <v>41</v>
      </c>
      <c r="B14" t="s">
        <v>42</v>
      </c>
      <c r="C14" t="s">
        <v>29</v>
      </c>
      <c r="D14" t="s">
        <v>13</v>
      </c>
      <c r="E14" t="s">
        <v>22</v>
      </c>
      <c r="F14" s="2">
        <v>43618</v>
      </c>
      <c r="G14" s="3">
        <v>6800000</v>
      </c>
      <c r="H14" s="3">
        <v>950000</v>
      </c>
      <c r="I14" s="3">
        <v>55000</v>
      </c>
    </row>
    <row r="15" spans="1:9">
      <c r="A15" t="s">
        <v>43</v>
      </c>
      <c r="B15" t="s">
        <v>44</v>
      </c>
      <c r="C15" t="s">
        <v>32</v>
      </c>
      <c r="D15" t="s">
        <v>45</v>
      </c>
      <c r="E15" t="s">
        <v>26</v>
      </c>
      <c r="F15" s="2">
        <v>43665</v>
      </c>
      <c r="G15" s="3">
        <v>8000000</v>
      </c>
      <c r="H15" s="3">
        <v>1200000</v>
      </c>
      <c r="I15" s="3">
        <v>70000</v>
      </c>
    </row>
    <row r="16" spans="1:9">
      <c r="A16" t="s">
        <v>46</v>
      </c>
      <c r="B16" t="s">
        <v>47</v>
      </c>
      <c r="C16" t="s">
        <v>12</v>
      </c>
      <c r="D16" t="s">
        <v>13</v>
      </c>
      <c r="E16" t="s">
        <v>14</v>
      </c>
      <c r="F16" s="2">
        <v>43712</v>
      </c>
      <c r="G16" s="3">
        <v>4350000</v>
      </c>
      <c r="H16" s="3">
        <v>500000</v>
      </c>
      <c r="I16" s="3">
        <v>35000</v>
      </c>
    </row>
    <row r="17" spans="1:9">
      <c r="A17" t="s">
        <v>48</v>
      </c>
      <c r="B17" t="s">
        <v>49</v>
      </c>
      <c r="C17" t="s">
        <v>17</v>
      </c>
      <c r="D17" t="s">
        <v>13</v>
      </c>
      <c r="E17" t="s">
        <v>18</v>
      </c>
      <c r="F17" s="2">
        <v>43759</v>
      </c>
      <c r="G17" s="3">
        <v>5500000</v>
      </c>
      <c r="H17" s="3">
        <v>700000</v>
      </c>
      <c r="I17" s="3">
        <v>45000</v>
      </c>
    </row>
    <row r="18" spans="1:9">
      <c r="A18" t="s">
        <v>50</v>
      </c>
      <c r="B18" t="s">
        <v>51</v>
      </c>
      <c r="C18" t="s">
        <v>21</v>
      </c>
      <c r="D18" t="s">
        <v>13</v>
      </c>
      <c r="E18" t="s">
        <v>22</v>
      </c>
      <c r="F18" s="2">
        <v>43806</v>
      </c>
      <c r="G18" s="3">
        <v>6500000</v>
      </c>
      <c r="H18" s="3">
        <v>950000</v>
      </c>
      <c r="I18" s="3">
        <v>55000</v>
      </c>
    </row>
    <row r="19" spans="1:9">
      <c r="A19" t="s">
        <v>52</v>
      </c>
      <c r="B19" t="s">
        <v>53</v>
      </c>
      <c r="C19" t="s">
        <v>25</v>
      </c>
      <c r="D19" t="s">
        <v>13</v>
      </c>
      <c r="E19" t="s">
        <v>26</v>
      </c>
      <c r="F19" s="2">
        <v>43853</v>
      </c>
      <c r="G19" s="3">
        <v>8150000</v>
      </c>
      <c r="H19" s="3">
        <v>1200000</v>
      </c>
      <c r="I19" s="3">
        <v>70000</v>
      </c>
    </row>
    <row r="20" spans="1:9">
      <c r="A20" t="s">
        <v>54</v>
      </c>
      <c r="B20" t="s">
        <v>55</v>
      </c>
      <c r="C20" t="s">
        <v>29</v>
      </c>
      <c r="D20" t="s">
        <v>13</v>
      </c>
      <c r="E20" t="s">
        <v>14</v>
      </c>
      <c r="F20" s="2">
        <v>43900</v>
      </c>
      <c r="G20" s="3">
        <v>4500000</v>
      </c>
      <c r="H20" s="3">
        <v>500000</v>
      </c>
      <c r="I20" s="3">
        <v>35000</v>
      </c>
    </row>
    <row r="21" spans="1:9">
      <c r="A21" t="s">
        <v>56</v>
      </c>
      <c r="B21" t="s">
        <v>57</v>
      </c>
      <c r="C21" t="s">
        <v>32</v>
      </c>
      <c r="D21" t="s">
        <v>13</v>
      </c>
      <c r="E21" t="s">
        <v>18</v>
      </c>
      <c r="F21" s="2">
        <v>43947</v>
      </c>
      <c r="G21" s="3">
        <v>5200000</v>
      </c>
      <c r="H21" s="3">
        <v>700000</v>
      </c>
      <c r="I21" s="3">
        <v>45000</v>
      </c>
    </row>
    <row r="22" spans="1:9">
      <c r="A22" t="s">
        <v>58</v>
      </c>
      <c r="B22" t="s">
        <v>59</v>
      </c>
      <c r="C22" t="s">
        <v>12</v>
      </c>
      <c r="D22" t="s">
        <v>13</v>
      </c>
      <c r="E22" t="s">
        <v>22</v>
      </c>
      <c r="F22" s="2">
        <v>43994</v>
      </c>
      <c r="G22" s="3">
        <v>6650000</v>
      </c>
      <c r="H22" s="3">
        <v>950000</v>
      </c>
      <c r="I22" s="3">
        <v>55000</v>
      </c>
    </row>
    <row r="23" spans="1:9">
      <c r="A23" t="s">
        <v>60</v>
      </c>
      <c r="B23" t="s">
        <v>61</v>
      </c>
      <c r="C23" t="s">
        <v>17</v>
      </c>
      <c r="D23" t="s">
        <v>13</v>
      </c>
      <c r="E23" t="s">
        <v>26</v>
      </c>
      <c r="F23" s="2">
        <v>44041</v>
      </c>
      <c r="G23" s="3">
        <v>8300000</v>
      </c>
      <c r="H23" s="3">
        <v>1200000</v>
      </c>
      <c r="I23" s="3">
        <v>70000</v>
      </c>
    </row>
    <row r="24" spans="1:9">
      <c r="A24" t="s">
        <v>62</v>
      </c>
      <c r="B24" t="s">
        <v>63</v>
      </c>
      <c r="C24" t="s">
        <v>21</v>
      </c>
      <c r="D24" t="s">
        <v>13</v>
      </c>
      <c r="E24" t="s">
        <v>14</v>
      </c>
      <c r="F24" s="2">
        <v>44088</v>
      </c>
      <c r="G24" s="3">
        <v>4200000</v>
      </c>
      <c r="H24" s="3">
        <v>500000</v>
      </c>
      <c r="I24" s="3">
        <v>35000</v>
      </c>
    </row>
    <row r="25" spans="1:9">
      <c r="A25" t="s">
        <v>64</v>
      </c>
      <c r="B25" t="s">
        <v>65</v>
      </c>
      <c r="C25" t="s">
        <v>25</v>
      </c>
      <c r="D25" t="s">
        <v>13</v>
      </c>
      <c r="E25" t="s">
        <v>18</v>
      </c>
      <c r="F25" s="2">
        <v>44135</v>
      </c>
      <c r="G25" s="3">
        <v>5350000</v>
      </c>
      <c r="H25" s="3">
        <v>700000</v>
      </c>
      <c r="I25" s="3">
        <v>45000</v>
      </c>
    </row>
    <row r="26" spans="1:9">
      <c r="A26" t="s">
        <v>66</v>
      </c>
      <c r="B26" t="s">
        <v>67</v>
      </c>
      <c r="C26" t="s">
        <v>29</v>
      </c>
      <c r="D26" t="s">
        <v>13</v>
      </c>
      <c r="E26" t="s">
        <v>22</v>
      </c>
      <c r="F26" s="2">
        <v>44182</v>
      </c>
      <c r="G26" s="3">
        <v>6800000</v>
      </c>
      <c r="H26" s="3">
        <v>950000</v>
      </c>
      <c r="I26" s="3">
        <v>55000</v>
      </c>
    </row>
    <row r="27" spans="1:9">
      <c r="A27" t="s">
        <v>68</v>
      </c>
      <c r="B27" t="s">
        <v>69</v>
      </c>
      <c r="C27" t="s">
        <v>32</v>
      </c>
      <c r="D27" t="s">
        <v>13</v>
      </c>
      <c r="E27" t="s">
        <v>26</v>
      </c>
      <c r="F27" s="2">
        <v>44229</v>
      </c>
      <c r="G27" s="3">
        <v>8000000</v>
      </c>
      <c r="H27" s="3">
        <v>1200000</v>
      </c>
      <c r="I27" s="3">
        <v>70000</v>
      </c>
    </row>
    <row r="28" spans="1:9">
      <c r="A28" t="s">
        <v>70</v>
      </c>
      <c r="B28" t="s">
        <v>71</v>
      </c>
      <c r="C28" t="s">
        <v>12</v>
      </c>
      <c r="D28" t="s">
        <v>13</v>
      </c>
      <c r="E28" t="s">
        <v>14</v>
      </c>
      <c r="F28" s="2">
        <v>44276</v>
      </c>
      <c r="G28" s="3">
        <v>4350000</v>
      </c>
      <c r="H28" s="3">
        <v>500000</v>
      </c>
      <c r="I28" s="3">
        <v>35000</v>
      </c>
    </row>
    <row r="29" spans="1:9">
      <c r="A29" t="s">
        <v>72</v>
      </c>
      <c r="B29" t="s">
        <v>73</v>
      </c>
      <c r="C29" t="s">
        <v>17</v>
      </c>
      <c r="D29" t="s">
        <v>13</v>
      </c>
      <c r="E29" t="s">
        <v>18</v>
      </c>
      <c r="F29" s="2">
        <v>44323</v>
      </c>
      <c r="G29" s="3">
        <v>5500000</v>
      </c>
      <c r="H29" s="3">
        <v>700000</v>
      </c>
      <c r="I29" s="3">
        <v>45000</v>
      </c>
    </row>
    <row r="30" spans="1:9">
      <c r="A30" t="s">
        <v>74</v>
      </c>
      <c r="B30" t="s">
        <v>75</v>
      </c>
      <c r="C30" t="s">
        <v>21</v>
      </c>
      <c r="D30" t="s">
        <v>13</v>
      </c>
      <c r="E30" t="s">
        <v>22</v>
      </c>
      <c r="F30" s="2">
        <v>44370</v>
      </c>
      <c r="G30" s="3">
        <v>6500000</v>
      </c>
      <c r="H30" s="3">
        <v>950000</v>
      </c>
      <c r="I30" s="3">
        <v>55000</v>
      </c>
    </row>
    <row r="31" spans="1:9">
      <c r="A31" t="s">
        <v>76</v>
      </c>
      <c r="B31" t="s">
        <v>77</v>
      </c>
      <c r="C31" t="s">
        <v>25</v>
      </c>
      <c r="D31" t="s">
        <v>13</v>
      </c>
      <c r="E31" t="s">
        <v>26</v>
      </c>
      <c r="F31" s="2">
        <v>44417</v>
      </c>
      <c r="G31" s="3">
        <v>8150000</v>
      </c>
      <c r="H31" s="3">
        <v>1200000</v>
      </c>
      <c r="I31" s="3">
        <v>70000</v>
      </c>
    </row>
    <row r="32" spans="1:9">
      <c r="A32" t="s">
        <v>78</v>
      </c>
      <c r="B32" t="s">
        <v>79</v>
      </c>
      <c r="C32" t="s">
        <v>29</v>
      </c>
      <c r="D32" t="s">
        <v>13</v>
      </c>
      <c r="E32" t="s">
        <v>14</v>
      </c>
      <c r="F32" s="2">
        <v>44464</v>
      </c>
      <c r="G32" s="3">
        <v>4500000</v>
      </c>
      <c r="H32" s="3">
        <v>500000</v>
      </c>
      <c r="I32" s="3">
        <v>35000</v>
      </c>
    </row>
    <row r="33" spans="1:9">
      <c r="A33" t="s">
        <v>80</v>
      </c>
      <c r="B33" t="s">
        <v>81</v>
      </c>
      <c r="C33" t="s">
        <v>32</v>
      </c>
      <c r="D33" t="s">
        <v>13</v>
      </c>
      <c r="E33" t="s">
        <v>18</v>
      </c>
      <c r="F33" s="2">
        <v>44511</v>
      </c>
      <c r="G33" s="3">
        <v>5200000</v>
      </c>
      <c r="H33" s="3">
        <v>700000</v>
      </c>
      <c r="I33" s="3">
        <v>45000</v>
      </c>
    </row>
    <row r="34" spans="1:9">
      <c r="A34" t="s">
        <v>82</v>
      </c>
      <c r="B34" t="s">
        <v>83</v>
      </c>
      <c r="C34" t="s">
        <v>12</v>
      </c>
      <c r="D34" t="s">
        <v>13</v>
      </c>
      <c r="E34" t="s">
        <v>22</v>
      </c>
      <c r="F34" s="2">
        <v>44558</v>
      </c>
      <c r="G34" s="3">
        <v>6650000</v>
      </c>
      <c r="H34" s="3">
        <v>950000</v>
      </c>
      <c r="I34" s="3">
        <v>55000</v>
      </c>
    </row>
    <row r="35" spans="1:9">
      <c r="A35" t="s">
        <v>84</v>
      </c>
      <c r="B35" t="s">
        <v>85</v>
      </c>
      <c r="C35" t="s">
        <v>17</v>
      </c>
      <c r="D35" t="s">
        <v>13</v>
      </c>
      <c r="E35" t="s">
        <v>26</v>
      </c>
      <c r="F35" s="2">
        <v>44605</v>
      </c>
      <c r="G35" s="3">
        <v>8300000</v>
      </c>
      <c r="H35" s="3">
        <v>1200000</v>
      </c>
      <c r="I35" s="3">
        <v>70000</v>
      </c>
    </row>
    <row r="36" spans="1:9">
      <c r="A36" t="s">
        <v>86</v>
      </c>
      <c r="B36" t="s">
        <v>87</v>
      </c>
      <c r="C36" t="s">
        <v>21</v>
      </c>
      <c r="D36" t="s">
        <v>13</v>
      </c>
      <c r="E36" t="s">
        <v>14</v>
      </c>
      <c r="F36" s="2">
        <v>44652</v>
      </c>
      <c r="G36" s="3">
        <v>4200000</v>
      </c>
      <c r="H36" s="3">
        <v>500000</v>
      </c>
      <c r="I36" s="3">
        <v>35000</v>
      </c>
    </row>
    <row r="37" spans="1:9">
      <c r="A37" t="s">
        <v>88</v>
      </c>
      <c r="B37" t="s">
        <v>89</v>
      </c>
      <c r="C37" t="s">
        <v>25</v>
      </c>
      <c r="D37" t="s">
        <v>45</v>
      </c>
      <c r="E37" t="s">
        <v>18</v>
      </c>
      <c r="F37" s="2">
        <v>44699</v>
      </c>
      <c r="G37" s="3">
        <v>5350000</v>
      </c>
      <c r="H37" s="3">
        <v>700000</v>
      </c>
      <c r="I37" s="3">
        <v>45000</v>
      </c>
    </row>
    <row r="38" spans="1:9">
      <c r="A38" t="s">
        <v>90</v>
      </c>
      <c r="B38" t="s">
        <v>91</v>
      </c>
      <c r="C38" t="s">
        <v>29</v>
      </c>
      <c r="D38" t="s">
        <v>13</v>
      </c>
      <c r="E38" t="s">
        <v>22</v>
      </c>
      <c r="F38" s="2">
        <v>44746</v>
      </c>
      <c r="G38" s="3">
        <v>6800000</v>
      </c>
      <c r="H38" s="3">
        <v>950000</v>
      </c>
      <c r="I38" s="3">
        <v>55000</v>
      </c>
    </row>
    <row r="39" spans="1:9">
      <c r="A39" t="s">
        <v>92</v>
      </c>
      <c r="B39" t="s">
        <v>93</v>
      </c>
      <c r="C39" t="s">
        <v>32</v>
      </c>
      <c r="D39" t="s">
        <v>13</v>
      </c>
      <c r="E39" t="s">
        <v>26</v>
      </c>
      <c r="F39" s="2">
        <v>44793</v>
      </c>
      <c r="G39" s="3">
        <v>8000000</v>
      </c>
      <c r="H39" s="3">
        <v>1200000</v>
      </c>
      <c r="I39" s="3">
        <v>70000</v>
      </c>
    </row>
    <row r="40" spans="1:9">
      <c r="A40" t="s">
        <v>94</v>
      </c>
      <c r="B40" t="s">
        <v>95</v>
      </c>
      <c r="C40" t="s">
        <v>12</v>
      </c>
      <c r="D40" t="s">
        <v>13</v>
      </c>
      <c r="E40" t="s">
        <v>14</v>
      </c>
      <c r="F40" s="2">
        <v>44840</v>
      </c>
      <c r="G40" s="3">
        <v>4350000</v>
      </c>
      <c r="H40" s="3">
        <v>500000</v>
      </c>
      <c r="I40" s="3">
        <v>35000</v>
      </c>
    </row>
    <row r="41" spans="1:9">
      <c r="A41" t="s">
        <v>96</v>
      </c>
      <c r="B41" t="s">
        <v>97</v>
      </c>
      <c r="C41" t="s">
        <v>17</v>
      </c>
      <c r="D41" t="s">
        <v>13</v>
      </c>
      <c r="E41" t="s">
        <v>18</v>
      </c>
      <c r="F41" s="2">
        <v>44887</v>
      </c>
      <c r="G41" s="3">
        <v>5500000</v>
      </c>
      <c r="H41" s="3">
        <v>700000</v>
      </c>
      <c r="I41" s="3">
        <v>45000</v>
      </c>
    </row>
    <row r="42" spans="1:9">
      <c r="A42" t="s">
        <v>98</v>
      </c>
      <c r="B42" t="s">
        <v>99</v>
      </c>
      <c r="C42" t="s">
        <v>21</v>
      </c>
      <c r="D42" t="s">
        <v>13</v>
      </c>
      <c r="E42" t="s">
        <v>22</v>
      </c>
      <c r="F42" s="2">
        <v>44934</v>
      </c>
      <c r="G42" s="3">
        <v>6500000</v>
      </c>
      <c r="H42" s="3">
        <v>950000</v>
      </c>
      <c r="I42" s="3">
        <v>55000</v>
      </c>
    </row>
    <row r="43" spans="1:9">
      <c r="A43" t="s">
        <v>100</v>
      </c>
      <c r="B43" t="s">
        <v>101</v>
      </c>
      <c r="C43" t="s">
        <v>25</v>
      </c>
      <c r="D43" t="s">
        <v>13</v>
      </c>
      <c r="E43" t="s">
        <v>26</v>
      </c>
      <c r="F43" s="2">
        <v>44981</v>
      </c>
      <c r="G43" s="3">
        <v>8150000</v>
      </c>
      <c r="H43" s="3">
        <v>1200000</v>
      </c>
      <c r="I43" s="3">
        <v>70000</v>
      </c>
    </row>
    <row r="44" spans="1:9">
      <c r="A44" t="s">
        <v>102</v>
      </c>
      <c r="B44" t="s">
        <v>103</v>
      </c>
      <c r="C44" t="s">
        <v>29</v>
      </c>
      <c r="D44" t="s">
        <v>13</v>
      </c>
      <c r="E44" t="s">
        <v>14</v>
      </c>
      <c r="F44" s="2">
        <v>45028</v>
      </c>
      <c r="G44" s="3">
        <v>4500000</v>
      </c>
      <c r="H44" s="3">
        <v>500000</v>
      </c>
      <c r="I44" s="3">
        <v>35000</v>
      </c>
    </row>
    <row r="45" spans="1:9">
      <c r="A45" t="s">
        <v>104</v>
      </c>
      <c r="B45" t="s">
        <v>105</v>
      </c>
      <c r="C45" t="s">
        <v>32</v>
      </c>
      <c r="D45" t="s">
        <v>13</v>
      </c>
      <c r="E45" t="s">
        <v>18</v>
      </c>
      <c r="F45" s="2">
        <v>45075</v>
      </c>
      <c r="G45" s="3">
        <v>5200000</v>
      </c>
      <c r="H45" s="3">
        <v>700000</v>
      </c>
      <c r="I45" s="3">
        <v>45000</v>
      </c>
    </row>
    <row r="46" spans="1:9">
      <c r="A46" t="s">
        <v>106</v>
      </c>
      <c r="B46" t="s">
        <v>107</v>
      </c>
      <c r="C46" t="s">
        <v>12</v>
      </c>
      <c r="D46" t="s">
        <v>13</v>
      </c>
      <c r="E46" t="s">
        <v>22</v>
      </c>
      <c r="F46" s="2">
        <v>45122</v>
      </c>
      <c r="G46" s="3">
        <v>6650000</v>
      </c>
      <c r="H46" s="3">
        <v>950000</v>
      </c>
      <c r="I46" s="3">
        <v>55000</v>
      </c>
    </row>
    <row r="47" spans="1:9">
      <c r="A47" t="s">
        <v>108</v>
      </c>
      <c r="B47" t="s">
        <v>109</v>
      </c>
      <c r="C47" t="s">
        <v>17</v>
      </c>
      <c r="D47" t="s">
        <v>13</v>
      </c>
      <c r="E47" t="s">
        <v>26</v>
      </c>
      <c r="F47" s="2">
        <v>45169</v>
      </c>
      <c r="G47" s="3">
        <v>8300000</v>
      </c>
      <c r="H47" s="3">
        <v>1200000</v>
      </c>
      <c r="I47" s="3">
        <v>70000</v>
      </c>
    </row>
    <row r="48" spans="1:9">
      <c r="A48" t="s">
        <v>110</v>
      </c>
      <c r="B48" t="s">
        <v>111</v>
      </c>
      <c r="C48" t="s">
        <v>21</v>
      </c>
      <c r="D48" t="s">
        <v>13</v>
      </c>
      <c r="E48" t="s">
        <v>14</v>
      </c>
      <c r="F48" s="2">
        <v>45216</v>
      </c>
      <c r="G48" s="3">
        <v>4200000</v>
      </c>
      <c r="H48" s="3">
        <v>500000</v>
      </c>
      <c r="I48" s="3">
        <v>35000</v>
      </c>
    </row>
    <row r="49" spans="1:9">
      <c r="A49" t="s">
        <v>112</v>
      </c>
      <c r="B49" t="s">
        <v>113</v>
      </c>
      <c r="C49" t="s">
        <v>25</v>
      </c>
      <c r="D49" t="s">
        <v>13</v>
      </c>
      <c r="E49" t="s">
        <v>18</v>
      </c>
      <c r="F49" s="2">
        <v>45263</v>
      </c>
      <c r="G49" s="3">
        <v>5350000</v>
      </c>
      <c r="H49" s="3">
        <v>700000</v>
      </c>
      <c r="I49" s="3">
        <v>45000</v>
      </c>
    </row>
    <row r="50" spans="1:9">
      <c r="A50" t="s">
        <v>114</v>
      </c>
      <c r="B50" t="s">
        <v>115</v>
      </c>
      <c r="C50" t="s">
        <v>29</v>
      </c>
      <c r="D50" t="s">
        <v>13</v>
      </c>
      <c r="E50" t="s">
        <v>22</v>
      </c>
      <c r="F50" s="2">
        <v>45310</v>
      </c>
      <c r="G50" s="3">
        <v>6800000</v>
      </c>
      <c r="H50" s="3">
        <v>950000</v>
      </c>
      <c r="I50" s="3">
        <v>55000</v>
      </c>
    </row>
    <row r="51" spans="1:9">
      <c r="A51" t="s">
        <v>116</v>
      </c>
      <c r="B51" t="s">
        <v>117</v>
      </c>
      <c r="C51" t="s">
        <v>32</v>
      </c>
      <c r="D51" t="s">
        <v>13</v>
      </c>
      <c r="E51" t="s">
        <v>26</v>
      </c>
      <c r="F51" s="2">
        <v>45357</v>
      </c>
      <c r="G51" s="3">
        <v>8000000</v>
      </c>
      <c r="H51" s="3">
        <v>1200000</v>
      </c>
      <c r="I51" s="3">
        <v>70000</v>
      </c>
    </row>
    <row r="52" spans="1:9">
      <c r="A52" t="s">
        <v>118</v>
      </c>
      <c r="B52" t="s">
        <v>119</v>
      </c>
      <c r="C52" t="s">
        <v>12</v>
      </c>
      <c r="D52" t="s">
        <v>120</v>
      </c>
      <c r="E52" t="s">
        <v>14</v>
      </c>
      <c r="F52" s="2">
        <v>45404</v>
      </c>
      <c r="G52" s="3">
        <v>4350000</v>
      </c>
      <c r="H52" s="3">
        <v>500000</v>
      </c>
      <c r="I52" s="3">
        <v>35000</v>
      </c>
    </row>
    <row r="53" spans="1:9">
      <c r="A53" t="s">
        <v>121</v>
      </c>
      <c r="B53" t="s">
        <v>122</v>
      </c>
      <c r="C53" t="s">
        <v>17</v>
      </c>
      <c r="D53" t="s">
        <v>13</v>
      </c>
      <c r="E53" t="s">
        <v>18</v>
      </c>
      <c r="F53" s="2">
        <v>45451</v>
      </c>
      <c r="G53" s="3">
        <v>5500000</v>
      </c>
      <c r="H53" s="3">
        <v>700000</v>
      </c>
      <c r="I53" s="3">
        <v>45000</v>
      </c>
    </row>
    <row r="54" spans="1:9">
      <c r="A54" t="s">
        <v>123</v>
      </c>
      <c r="B54" t="s">
        <v>124</v>
      </c>
      <c r="C54" t="s">
        <v>21</v>
      </c>
      <c r="D54" t="s">
        <v>13</v>
      </c>
      <c r="E54" t="s">
        <v>22</v>
      </c>
      <c r="F54" s="2">
        <v>45498</v>
      </c>
      <c r="G54" s="3">
        <v>6500000</v>
      </c>
      <c r="H54" s="3">
        <v>950000</v>
      </c>
      <c r="I54" s="3">
        <v>55000</v>
      </c>
    </row>
    <row r="55" spans="1:9">
      <c r="A55" t="s">
        <v>125</v>
      </c>
      <c r="B55" t="s">
        <v>126</v>
      </c>
      <c r="C55" t="s">
        <v>25</v>
      </c>
      <c r="D55" t="s">
        <v>13</v>
      </c>
      <c r="E55" t="s">
        <v>26</v>
      </c>
      <c r="F55" s="2">
        <v>43145</v>
      </c>
      <c r="G55" s="3">
        <v>8150000</v>
      </c>
      <c r="H55" s="3">
        <v>1200000</v>
      </c>
      <c r="I55" s="3">
        <v>70000</v>
      </c>
    </row>
    <row r="56" spans="1:9">
      <c r="A56" t="s">
        <v>127</v>
      </c>
      <c r="B56" t="s">
        <v>128</v>
      </c>
      <c r="C56" t="s">
        <v>29</v>
      </c>
      <c r="D56" t="s">
        <v>13</v>
      </c>
      <c r="E56" t="s">
        <v>14</v>
      </c>
      <c r="F56" s="2">
        <v>43192</v>
      </c>
      <c r="G56" s="3">
        <v>4500000</v>
      </c>
      <c r="H56" s="3">
        <v>500000</v>
      </c>
      <c r="I56" s="3">
        <v>35000</v>
      </c>
    </row>
    <row r="57" spans="1:9">
      <c r="A57" t="s">
        <v>129</v>
      </c>
      <c r="B57" t="s">
        <v>130</v>
      </c>
      <c r="C57" t="s">
        <v>32</v>
      </c>
      <c r="D57" t="s">
        <v>13</v>
      </c>
      <c r="E57" t="s">
        <v>18</v>
      </c>
      <c r="F57" s="2">
        <v>43239</v>
      </c>
      <c r="G57" s="3">
        <v>5200000</v>
      </c>
      <c r="H57" s="3">
        <v>700000</v>
      </c>
      <c r="I57" s="3">
        <v>45000</v>
      </c>
    </row>
    <row r="58" spans="1:9">
      <c r="A58" t="s">
        <v>131</v>
      </c>
      <c r="B58" t="s">
        <v>132</v>
      </c>
      <c r="C58" t="s">
        <v>12</v>
      </c>
      <c r="D58" t="s">
        <v>13</v>
      </c>
      <c r="E58" t="s">
        <v>22</v>
      </c>
      <c r="F58" s="2">
        <v>43286</v>
      </c>
      <c r="G58" s="3">
        <v>6650000</v>
      </c>
      <c r="H58" s="3">
        <v>950000</v>
      </c>
      <c r="I58" s="3">
        <v>55000</v>
      </c>
    </row>
    <row r="59" spans="1:9">
      <c r="A59" t="s">
        <v>133</v>
      </c>
      <c r="B59" t="s">
        <v>134</v>
      </c>
      <c r="C59" t="s">
        <v>17</v>
      </c>
      <c r="D59" t="s">
        <v>13</v>
      </c>
      <c r="E59" t="s">
        <v>26</v>
      </c>
      <c r="F59" s="2">
        <v>43333</v>
      </c>
      <c r="G59" s="3">
        <v>8300000</v>
      </c>
      <c r="H59" s="3">
        <v>1200000</v>
      </c>
      <c r="I59" s="3">
        <v>70000</v>
      </c>
    </row>
    <row r="60" spans="1:9">
      <c r="A60" t="s">
        <v>135</v>
      </c>
      <c r="B60" t="s">
        <v>136</v>
      </c>
      <c r="C60" t="s">
        <v>21</v>
      </c>
      <c r="D60" t="s">
        <v>45</v>
      </c>
      <c r="E60" t="s">
        <v>14</v>
      </c>
      <c r="F60" s="2">
        <v>43380</v>
      </c>
      <c r="G60" s="3">
        <v>4200000</v>
      </c>
      <c r="H60" s="3">
        <v>500000</v>
      </c>
      <c r="I60" s="3">
        <v>35000</v>
      </c>
    </row>
    <row r="61" spans="1:9">
      <c r="A61" t="s">
        <v>137</v>
      </c>
      <c r="B61" t="s">
        <v>138</v>
      </c>
      <c r="C61" t="s">
        <v>25</v>
      </c>
      <c r="D61" t="s">
        <v>45</v>
      </c>
      <c r="E61" t="s">
        <v>18</v>
      </c>
      <c r="F61" s="2">
        <v>43427</v>
      </c>
      <c r="G61" s="3">
        <v>5350000</v>
      </c>
      <c r="H61" s="3">
        <v>700000</v>
      </c>
      <c r="I61" s="3">
        <v>45000</v>
      </c>
    </row>
    <row r="62" spans="1:9">
      <c r="A62" t="s">
        <v>139</v>
      </c>
      <c r="B62" t="s">
        <v>140</v>
      </c>
      <c r="C62" t="s">
        <v>29</v>
      </c>
      <c r="D62" t="s">
        <v>120</v>
      </c>
      <c r="E62" t="s">
        <v>22</v>
      </c>
      <c r="F62" s="2">
        <v>43474</v>
      </c>
      <c r="G62" s="3">
        <v>6800000</v>
      </c>
      <c r="H62" s="3">
        <v>950000</v>
      </c>
      <c r="I62" s="3">
        <v>55000</v>
      </c>
    </row>
    <row r="63" spans="1:9">
      <c r="A63" t="s">
        <v>141</v>
      </c>
      <c r="B63" t="s">
        <v>142</v>
      </c>
      <c r="C63" t="s">
        <v>32</v>
      </c>
      <c r="D63" t="s">
        <v>120</v>
      </c>
      <c r="E63" t="s">
        <v>26</v>
      </c>
      <c r="F63" s="2">
        <v>43521</v>
      </c>
      <c r="G63" s="3">
        <v>8000000</v>
      </c>
      <c r="H63" s="3">
        <v>1200000</v>
      </c>
      <c r="I63" s="3">
        <v>70000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topLeftCell="A24" zoomScale="70" zoomScaleNormal="70" workbookViewId="0">
      <selection sqref="A1:F1"/>
    </sheetView>
  </sheetViews>
  <sheetFormatPr defaultRowHeight="13.8"/>
  <cols>
    <col min="1" max="4" width="12" customWidth="1"/>
    <col min="5" max="5" width="18" customWidth="1"/>
    <col min="6" max="6" width="16" customWidth="1"/>
  </cols>
  <sheetData>
    <row r="1" spans="1:6" ht="19.2" customHeight="1">
      <c r="A1" s="7" t="s">
        <v>143</v>
      </c>
      <c r="B1" s="8"/>
      <c r="C1" s="8"/>
      <c r="D1" s="8"/>
      <c r="E1" s="8"/>
      <c r="F1" s="8"/>
    </row>
    <row r="3" spans="1:6" ht="27.6">
      <c r="A3" s="1" t="s">
        <v>2</v>
      </c>
      <c r="B3" s="1" t="s">
        <v>144</v>
      </c>
      <c r="C3" s="1" t="s">
        <v>145</v>
      </c>
      <c r="D3" s="1" t="s">
        <v>146</v>
      </c>
      <c r="E3" s="1" t="s">
        <v>147</v>
      </c>
      <c r="F3" s="1" t="s">
        <v>148</v>
      </c>
    </row>
    <row r="4" spans="1:6">
      <c r="A4" t="s">
        <v>10</v>
      </c>
      <c r="B4">
        <v>22</v>
      </c>
      <c r="C4">
        <v>0</v>
      </c>
      <c r="D4">
        <v>3</v>
      </c>
      <c r="E4">
        <v>5</v>
      </c>
      <c r="F4" s="3">
        <v>75000</v>
      </c>
    </row>
    <row r="5" spans="1:6">
      <c r="A5" t="s">
        <v>15</v>
      </c>
      <c r="B5">
        <v>22</v>
      </c>
      <c r="C5">
        <v>0</v>
      </c>
      <c r="D5">
        <v>0</v>
      </c>
      <c r="E5">
        <v>10</v>
      </c>
      <c r="F5" s="3">
        <v>0</v>
      </c>
    </row>
    <row r="6" spans="1:6">
      <c r="A6" t="s">
        <v>19</v>
      </c>
      <c r="B6">
        <v>22</v>
      </c>
      <c r="C6">
        <v>0</v>
      </c>
      <c r="D6">
        <v>3</v>
      </c>
      <c r="E6">
        <v>15</v>
      </c>
      <c r="F6" s="3">
        <v>75000</v>
      </c>
    </row>
    <row r="7" spans="1:6">
      <c r="A7" t="s">
        <v>23</v>
      </c>
      <c r="B7">
        <v>22</v>
      </c>
      <c r="C7">
        <v>0</v>
      </c>
      <c r="D7">
        <v>0</v>
      </c>
      <c r="E7">
        <v>20</v>
      </c>
      <c r="F7" s="3">
        <v>0</v>
      </c>
    </row>
    <row r="8" spans="1:6">
      <c r="A8" t="s">
        <v>27</v>
      </c>
      <c r="B8">
        <v>22</v>
      </c>
      <c r="C8">
        <v>0</v>
      </c>
      <c r="D8">
        <v>3</v>
      </c>
      <c r="E8">
        <v>25</v>
      </c>
      <c r="F8" s="3">
        <v>75000</v>
      </c>
    </row>
    <row r="9" spans="1:6">
      <c r="A9" t="s">
        <v>30</v>
      </c>
      <c r="B9">
        <v>22</v>
      </c>
      <c r="C9">
        <v>0</v>
      </c>
      <c r="D9">
        <v>0</v>
      </c>
      <c r="E9">
        <v>4</v>
      </c>
      <c r="F9" s="3">
        <v>0</v>
      </c>
    </row>
    <row r="10" spans="1:6">
      <c r="A10" t="s">
        <v>33</v>
      </c>
      <c r="B10">
        <v>22</v>
      </c>
      <c r="C10">
        <v>1</v>
      </c>
      <c r="D10">
        <v>3</v>
      </c>
      <c r="E10">
        <v>9</v>
      </c>
      <c r="F10" s="3">
        <v>175000</v>
      </c>
    </row>
    <row r="11" spans="1:6">
      <c r="A11" t="s">
        <v>35</v>
      </c>
      <c r="B11">
        <v>22</v>
      </c>
      <c r="C11">
        <v>0</v>
      </c>
      <c r="D11">
        <v>0</v>
      </c>
      <c r="E11">
        <v>58</v>
      </c>
      <c r="F11" s="3">
        <v>0</v>
      </c>
    </row>
    <row r="12" spans="1:6">
      <c r="A12" t="s">
        <v>37</v>
      </c>
      <c r="B12">
        <v>22</v>
      </c>
      <c r="C12">
        <v>0</v>
      </c>
      <c r="D12">
        <v>3</v>
      </c>
      <c r="E12">
        <v>19</v>
      </c>
      <c r="F12" s="3">
        <v>75000</v>
      </c>
    </row>
    <row r="13" spans="1:6">
      <c r="A13" t="s">
        <v>39</v>
      </c>
      <c r="B13">
        <v>22</v>
      </c>
      <c r="C13">
        <v>0</v>
      </c>
      <c r="D13">
        <v>0</v>
      </c>
      <c r="E13">
        <v>24</v>
      </c>
      <c r="F13" s="3">
        <v>0</v>
      </c>
    </row>
    <row r="14" spans="1:6">
      <c r="A14" t="s">
        <v>41</v>
      </c>
      <c r="B14">
        <v>22</v>
      </c>
      <c r="C14">
        <v>0</v>
      </c>
      <c r="D14">
        <v>3</v>
      </c>
      <c r="E14">
        <v>3</v>
      </c>
      <c r="F14" s="3">
        <v>75000</v>
      </c>
    </row>
    <row r="15" spans="1:6">
      <c r="A15" t="s">
        <v>43</v>
      </c>
      <c r="B15">
        <v>22</v>
      </c>
      <c r="C15">
        <v>0</v>
      </c>
      <c r="D15">
        <v>0</v>
      </c>
      <c r="E15">
        <v>8</v>
      </c>
      <c r="F15" s="3">
        <v>0</v>
      </c>
    </row>
    <row r="16" spans="1:6">
      <c r="A16" t="s">
        <v>46</v>
      </c>
      <c r="B16">
        <v>22</v>
      </c>
      <c r="C16">
        <v>0</v>
      </c>
      <c r="D16">
        <v>3</v>
      </c>
      <c r="E16">
        <v>13</v>
      </c>
      <c r="F16" s="3">
        <v>75000</v>
      </c>
    </row>
    <row r="17" spans="1:6">
      <c r="A17" t="s">
        <v>48</v>
      </c>
      <c r="B17">
        <v>22</v>
      </c>
      <c r="C17">
        <v>1</v>
      </c>
      <c r="D17">
        <v>0</v>
      </c>
      <c r="E17">
        <v>18</v>
      </c>
      <c r="F17" s="3">
        <v>100000</v>
      </c>
    </row>
    <row r="18" spans="1:6">
      <c r="A18" t="s">
        <v>50</v>
      </c>
      <c r="B18">
        <v>22</v>
      </c>
      <c r="C18">
        <v>0</v>
      </c>
      <c r="D18">
        <v>3</v>
      </c>
      <c r="E18">
        <v>23</v>
      </c>
      <c r="F18" s="3">
        <v>75000</v>
      </c>
    </row>
    <row r="19" spans="1:6">
      <c r="A19" t="s">
        <v>52</v>
      </c>
      <c r="B19">
        <v>22</v>
      </c>
      <c r="C19">
        <v>0</v>
      </c>
      <c r="D19">
        <v>0</v>
      </c>
      <c r="E19">
        <v>2</v>
      </c>
      <c r="F19" s="3">
        <v>0</v>
      </c>
    </row>
    <row r="20" spans="1:6">
      <c r="A20" t="s">
        <v>54</v>
      </c>
      <c r="B20">
        <v>22</v>
      </c>
      <c r="C20">
        <v>0</v>
      </c>
      <c r="D20">
        <v>3</v>
      </c>
      <c r="E20">
        <v>7</v>
      </c>
      <c r="F20" s="3">
        <v>75000</v>
      </c>
    </row>
    <row r="21" spans="1:6">
      <c r="A21" t="s">
        <v>56</v>
      </c>
      <c r="B21">
        <v>22</v>
      </c>
      <c r="C21">
        <v>0</v>
      </c>
      <c r="D21">
        <v>0</v>
      </c>
      <c r="E21">
        <v>12</v>
      </c>
      <c r="F21" s="3">
        <v>0</v>
      </c>
    </row>
    <row r="22" spans="1:6">
      <c r="A22" t="s">
        <v>58</v>
      </c>
      <c r="B22">
        <v>22</v>
      </c>
      <c r="C22">
        <v>0</v>
      </c>
      <c r="D22">
        <v>3</v>
      </c>
      <c r="E22">
        <v>17</v>
      </c>
      <c r="F22" s="3">
        <v>75000</v>
      </c>
    </row>
    <row r="23" spans="1:6">
      <c r="A23" t="s">
        <v>60</v>
      </c>
      <c r="B23">
        <v>22</v>
      </c>
      <c r="C23">
        <v>0</v>
      </c>
      <c r="D23">
        <v>0</v>
      </c>
      <c r="E23">
        <v>22</v>
      </c>
      <c r="F23" s="3">
        <v>0</v>
      </c>
    </row>
    <row r="24" spans="1:6">
      <c r="A24" t="s">
        <v>62</v>
      </c>
      <c r="B24">
        <v>22</v>
      </c>
      <c r="C24">
        <v>1</v>
      </c>
      <c r="D24">
        <v>3</v>
      </c>
      <c r="E24">
        <v>1</v>
      </c>
      <c r="F24" s="3">
        <v>175000</v>
      </c>
    </row>
    <row r="25" spans="1:6">
      <c r="A25" t="s">
        <v>64</v>
      </c>
      <c r="B25">
        <v>22</v>
      </c>
      <c r="C25">
        <v>0</v>
      </c>
      <c r="D25">
        <v>0</v>
      </c>
      <c r="E25">
        <v>6</v>
      </c>
      <c r="F25" s="3">
        <v>0</v>
      </c>
    </row>
    <row r="26" spans="1:6">
      <c r="A26" t="s">
        <v>66</v>
      </c>
      <c r="B26">
        <v>22</v>
      </c>
      <c r="C26">
        <v>0</v>
      </c>
      <c r="D26">
        <v>3</v>
      </c>
      <c r="E26">
        <v>11</v>
      </c>
      <c r="F26" s="3">
        <v>75000</v>
      </c>
    </row>
    <row r="27" spans="1:6">
      <c r="A27" t="s">
        <v>68</v>
      </c>
      <c r="B27">
        <v>22</v>
      </c>
      <c r="C27">
        <v>0</v>
      </c>
      <c r="D27">
        <v>0</v>
      </c>
      <c r="E27">
        <v>16</v>
      </c>
      <c r="F27" s="3">
        <v>0</v>
      </c>
    </row>
    <row r="28" spans="1:6">
      <c r="A28" t="s">
        <v>70</v>
      </c>
      <c r="B28">
        <v>22</v>
      </c>
      <c r="C28">
        <v>0</v>
      </c>
      <c r="D28">
        <v>3</v>
      </c>
      <c r="E28">
        <v>21</v>
      </c>
      <c r="F28" s="3">
        <v>75000</v>
      </c>
    </row>
    <row r="29" spans="1:6">
      <c r="A29" t="s">
        <v>72</v>
      </c>
      <c r="B29">
        <v>22</v>
      </c>
      <c r="C29">
        <v>0</v>
      </c>
      <c r="D29">
        <v>0</v>
      </c>
      <c r="E29">
        <v>0</v>
      </c>
      <c r="F29" s="3">
        <v>0</v>
      </c>
    </row>
    <row r="30" spans="1:6">
      <c r="A30" t="s">
        <v>74</v>
      </c>
      <c r="B30">
        <v>22</v>
      </c>
      <c r="C30">
        <v>0</v>
      </c>
      <c r="D30">
        <v>3</v>
      </c>
      <c r="E30">
        <v>5</v>
      </c>
      <c r="F30" s="3">
        <v>75000</v>
      </c>
    </row>
    <row r="31" spans="1:6">
      <c r="A31" t="s">
        <v>76</v>
      </c>
      <c r="B31">
        <v>22</v>
      </c>
      <c r="C31">
        <v>1</v>
      </c>
      <c r="D31">
        <v>0</v>
      </c>
      <c r="E31">
        <v>10</v>
      </c>
      <c r="F31" s="3">
        <v>100000</v>
      </c>
    </row>
    <row r="32" spans="1:6">
      <c r="A32" t="s">
        <v>78</v>
      </c>
      <c r="B32">
        <v>22</v>
      </c>
      <c r="C32">
        <v>0</v>
      </c>
      <c r="D32">
        <v>3</v>
      </c>
      <c r="E32">
        <v>15</v>
      </c>
      <c r="F32" s="3">
        <v>75000</v>
      </c>
    </row>
    <row r="33" spans="1:6">
      <c r="A33" t="s">
        <v>80</v>
      </c>
      <c r="B33">
        <v>22</v>
      </c>
      <c r="C33">
        <v>0</v>
      </c>
      <c r="D33">
        <v>0</v>
      </c>
      <c r="E33">
        <v>20</v>
      </c>
      <c r="F33" s="3">
        <v>0</v>
      </c>
    </row>
    <row r="34" spans="1:6">
      <c r="A34" t="s">
        <v>82</v>
      </c>
      <c r="B34">
        <v>22</v>
      </c>
      <c r="C34">
        <v>0</v>
      </c>
      <c r="D34">
        <v>3</v>
      </c>
      <c r="E34">
        <v>25</v>
      </c>
      <c r="F34" s="3">
        <v>75000</v>
      </c>
    </row>
    <row r="35" spans="1:6">
      <c r="A35" t="s">
        <v>84</v>
      </c>
      <c r="B35">
        <v>22</v>
      </c>
      <c r="C35">
        <v>0</v>
      </c>
      <c r="D35">
        <v>0</v>
      </c>
      <c r="E35">
        <v>4</v>
      </c>
      <c r="F35" s="3">
        <v>0</v>
      </c>
    </row>
    <row r="36" spans="1:6">
      <c r="A36" t="s">
        <v>86</v>
      </c>
      <c r="B36">
        <v>22</v>
      </c>
      <c r="C36">
        <v>0</v>
      </c>
      <c r="D36">
        <v>3</v>
      </c>
      <c r="E36">
        <v>9</v>
      </c>
      <c r="F36" s="3">
        <v>75000</v>
      </c>
    </row>
    <row r="37" spans="1:6">
      <c r="A37" t="s">
        <v>88</v>
      </c>
      <c r="B37">
        <v>22</v>
      </c>
      <c r="C37">
        <v>0</v>
      </c>
      <c r="D37">
        <v>0</v>
      </c>
      <c r="E37">
        <v>12</v>
      </c>
      <c r="F37" s="3">
        <v>0</v>
      </c>
    </row>
    <row r="38" spans="1:6">
      <c r="A38" t="s">
        <v>90</v>
      </c>
      <c r="B38">
        <v>22</v>
      </c>
      <c r="C38">
        <v>1</v>
      </c>
      <c r="D38">
        <v>3</v>
      </c>
      <c r="E38">
        <v>19</v>
      </c>
      <c r="F38" s="3">
        <v>175000</v>
      </c>
    </row>
    <row r="39" spans="1:6">
      <c r="A39" t="s">
        <v>92</v>
      </c>
      <c r="B39">
        <v>22</v>
      </c>
      <c r="C39">
        <v>0</v>
      </c>
      <c r="D39">
        <v>0</v>
      </c>
      <c r="E39">
        <v>24</v>
      </c>
      <c r="F39" s="3">
        <v>0</v>
      </c>
    </row>
    <row r="40" spans="1:6">
      <c r="A40" t="s">
        <v>94</v>
      </c>
      <c r="B40">
        <v>22</v>
      </c>
      <c r="C40">
        <v>0</v>
      </c>
      <c r="D40">
        <v>3</v>
      </c>
      <c r="E40">
        <v>3</v>
      </c>
      <c r="F40" s="3">
        <v>75000</v>
      </c>
    </row>
    <row r="41" spans="1:6">
      <c r="A41" t="s">
        <v>96</v>
      </c>
      <c r="B41">
        <v>22</v>
      </c>
      <c r="C41">
        <v>0</v>
      </c>
      <c r="D41">
        <v>0</v>
      </c>
      <c r="E41">
        <v>8</v>
      </c>
      <c r="F41" s="3">
        <v>0</v>
      </c>
    </row>
    <row r="42" spans="1:6">
      <c r="A42" t="s">
        <v>98</v>
      </c>
      <c r="B42">
        <v>22</v>
      </c>
      <c r="C42">
        <v>0</v>
      </c>
      <c r="D42">
        <v>3</v>
      </c>
      <c r="E42">
        <v>13</v>
      </c>
      <c r="F42" s="3">
        <v>75000</v>
      </c>
    </row>
    <row r="43" spans="1:6">
      <c r="A43" t="s">
        <v>100</v>
      </c>
      <c r="B43">
        <v>22</v>
      </c>
      <c r="C43">
        <v>0</v>
      </c>
      <c r="D43">
        <v>0</v>
      </c>
      <c r="E43">
        <v>18</v>
      </c>
      <c r="F43" s="3">
        <v>0</v>
      </c>
    </row>
    <row r="44" spans="1:6">
      <c r="A44" t="s">
        <v>102</v>
      </c>
      <c r="B44">
        <v>22</v>
      </c>
      <c r="C44">
        <v>0</v>
      </c>
      <c r="D44">
        <v>3</v>
      </c>
      <c r="E44">
        <v>23</v>
      </c>
      <c r="F44" s="3">
        <v>75000</v>
      </c>
    </row>
    <row r="45" spans="1:6">
      <c r="A45" t="s">
        <v>104</v>
      </c>
      <c r="B45">
        <v>22</v>
      </c>
      <c r="C45">
        <v>1</v>
      </c>
      <c r="D45">
        <v>0</v>
      </c>
      <c r="E45">
        <v>2</v>
      </c>
      <c r="F45" s="3">
        <v>100000</v>
      </c>
    </row>
    <row r="46" spans="1:6">
      <c r="A46" t="s">
        <v>106</v>
      </c>
      <c r="B46">
        <v>22</v>
      </c>
      <c r="C46">
        <v>0</v>
      </c>
      <c r="D46">
        <v>3</v>
      </c>
      <c r="E46">
        <v>7</v>
      </c>
      <c r="F46" s="3">
        <v>75000</v>
      </c>
    </row>
    <row r="47" spans="1:6">
      <c r="A47" t="s">
        <v>108</v>
      </c>
      <c r="B47">
        <v>22</v>
      </c>
      <c r="C47">
        <v>0</v>
      </c>
      <c r="D47">
        <v>0</v>
      </c>
      <c r="E47">
        <v>12</v>
      </c>
      <c r="F47" s="3">
        <v>0</v>
      </c>
    </row>
    <row r="48" spans="1:6">
      <c r="A48" t="s">
        <v>110</v>
      </c>
      <c r="B48">
        <v>22</v>
      </c>
      <c r="C48">
        <v>0</v>
      </c>
      <c r="D48">
        <v>3</v>
      </c>
      <c r="E48">
        <v>17</v>
      </c>
      <c r="F48" s="3">
        <v>75000</v>
      </c>
    </row>
    <row r="49" spans="1:6">
      <c r="A49" t="s">
        <v>112</v>
      </c>
      <c r="B49">
        <v>22</v>
      </c>
      <c r="C49">
        <v>0</v>
      </c>
      <c r="D49">
        <v>0</v>
      </c>
      <c r="E49">
        <v>22</v>
      </c>
      <c r="F49" s="3">
        <v>0</v>
      </c>
    </row>
    <row r="50" spans="1:6">
      <c r="A50" t="s">
        <v>114</v>
      </c>
      <c r="B50">
        <v>22</v>
      </c>
      <c r="C50">
        <v>0</v>
      </c>
      <c r="D50">
        <v>3</v>
      </c>
      <c r="E50">
        <v>1</v>
      </c>
      <c r="F50" s="3">
        <v>75000</v>
      </c>
    </row>
    <row r="51" spans="1:6">
      <c r="A51" t="s">
        <v>116</v>
      </c>
      <c r="B51">
        <v>22</v>
      </c>
      <c r="C51">
        <v>0</v>
      </c>
      <c r="D51">
        <v>0</v>
      </c>
      <c r="E51">
        <v>6</v>
      </c>
      <c r="F51" s="3">
        <v>0</v>
      </c>
    </row>
    <row r="52" spans="1:6">
      <c r="A52" t="s">
        <v>118</v>
      </c>
      <c r="B52">
        <v>10</v>
      </c>
      <c r="C52">
        <v>0</v>
      </c>
      <c r="D52">
        <v>3</v>
      </c>
      <c r="E52">
        <v>4</v>
      </c>
      <c r="F52" s="3">
        <v>75000</v>
      </c>
    </row>
    <row r="53" spans="1:6">
      <c r="A53" t="s">
        <v>121</v>
      </c>
      <c r="B53">
        <v>22</v>
      </c>
      <c r="C53">
        <v>0</v>
      </c>
      <c r="D53">
        <v>0</v>
      </c>
      <c r="E53">
        <v>16</v>
      </c>
      <c r="F53" s="3">
        <v>0</v>
      </c>
    </row>
    <row r="54" spans="1:6">
      <c r="A54" t="s">
        <v>123</v>
      </c>
      <c r="B54">
        <v>22</v>
      </c>
      <c r="C54">
        <v>0</v>
      </c>
      <c r="D54">
        <v>3</v>
      </c>
      <c r="E54">
        <v>21</v>
      </c>
      <c r="F54" s="3">
        <v>75000</v>
      </c>
    </row>
    <row r="55" spans="1:6">
      <c r="A55" t="s">
        <v>125</v>
      </c>
      <c r="B55">
        <v>22</v>
      </c>
      <c r="C55">
        <v>0</v>
      </c>
      <c r="D55">
        <v>0</v>
      </c>
      <c r="E55">
        <v>0</v>
      </c>
      <c r="F55" s="3">
        <v>0</v>
      </c>
    </row>
    <row r="56" spans="1:6">
      <c r="A56" t="s">
        <v>127</v>
      </c>
      <c r="B56">
        <v>22</v>
      </c>
      <c r="C56">
        <v>0</v>
      </c>
      <c r="D56">
        <v>3</v>
      </c>
      <c r="E56">
        <v>5</v>
      </c>
      <c r="F56" s="3">
        <v>75000</v>
      </c>
    </row>
    <row r="57" spans="1:6">
      <c r="A57" t="s">
        <v>129</v>
      </c>
      <c r="B57">
        <v>22</v>
      </c>
      <c r="C57">
        <v>0</v>
      </c>
      <c r="D57">
        <v>0</v>
      </c>
      <c r="E57">
        <v>10</v>
      </c>
      <c r="F57" s="3">
        <v>0</v>
      </c>
    </row>
    <row r="58" spans="1:6">
      <c r="A58" t="s">
        <v>131</v>
      </c>
      <c r="B58">
        <v>22</v>
      </c>
      <c r="C58">
        <v>0</v>
      </c>
      <c r="D58">
        <v>3</v>
      </c>
      <c r="E58">
        <v>15</v>
      </c>
      <c r="F58" s="3">
        <v>75000</v>
      </c>
    </row>
    <row r="59" spans="1:6">
      <c r="A59" t="s">
        <v>133</v>
      </c>
      <c r="B59">
        <v>22</v>
      </c>
      <c r="C59">
        <v>1</v>
      </c>
      <c r="D59">
        <v>0</v>
      </c>
      <c r="E59">
        <v>20</v>
      </c>
      <c r="F59" s="3">
        <v>100000</v>
      </c>
    </row>
    <row r="60" spans="1:6">
      <c r="A60" t="s">
        <v>135</v>
      </c>
      <c r="B60">
        <v>22</v>
      </c>
      <c r="C60">
        <v>0</v>
      </c>
      <c r="D60">
        <v>3</v>
      </c>
      <c r="E60">
        <v>25</v>
      </c>
      <c r="F60" s="3">
        <v>75000</v>
      </c>
    </row>
    <row r="61" spans="1:6">
      <c r="A61" t="s">
        <v>137</v>
      </c>
      <c r="B61">
        <v>22</v>
      </c>
      <c r="C61">
        <v>0</v>
      </c>
      <c r="D61">
        <v>0</v>
      </c>
      <c r="E61">
        <v>4</v>
      </c>
      <c r="F61" s="3">
        <v>0</v>
      </c>
    </row>
    <row r="62" spans="1:6">
      <c r="A62" t="s">
        <v>139</v>
      </c>
      <c r="B62">
        <v>22</v>
      </c>
      <c r="C62">
        <v>0</v>
      </c>
      <c r="D62">
        <v>3</v>
      </c>
      <c r="E62">
        <v>9</v>
      </c>
      <c r="F62" s="3">
        <v>75000</v>
      </c>
    </row>
    <row r="63" spans="1:6">
      <c r="A63" t="s">
        <v>141</v>
      </c>
      <c r="B63">
        <v>22</v>
      </c>
      <c r="C63">
        <v>0</v>
      </c>
      <c r="D63">
        <v>0</v>
      </c>
      <c r="E63">
        <v>14</v>
      </c>
      <c r="F63" s="3">
        <v>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"/>
  <sheetViews>
    <sheetView zoomScale="50" zoomScaleNormal="50" workbookViewId="0">
      <selection sqref="A1:I1"/>
    </sheetView>
  </sheetViews>
  <sheetFormatPr defaultRowHeight="13.8"/>
  <cols>
    <col min="1" max="1" width="12" customWidth="1"/>
    <col min="2" max="3" width="16" customWidth="1"/>
    <col min="4" max="4" width="12" customWidth="1"/>
    <col min="5" max="5" width="14" customWidth="1"/>
    <col min="6" max="6" width="20" customWidth="1"/>
    <col min="7" max="9" width="16" customWidth="1"/>
  </cols>
  <sheetData>
    <row r="1" spans="1:9" ht="19.2" customHeight="1">
      <c r="A1" s="7" t="s">
        <v>149</v>
      </c>
      <c r="B1" s="8"/>
      <c r="C1" s="8"/>
      <c r="D1" s="8"/>
      <c r="E1" s="8"/>
      <c r="F1" s="8"/>
      <c r="G1" s="8"/>
      <c r="H1" s="8"/>
      <c r="I1" s="8"/>
    </row>
    <row r="3" spans="1:9" ht="27.6">
      <c r="A3" s="1" t="s">
        <v>2</v>
      </c>
      <c r="B3" s="1" t="s">
        <v>7</v>
      </c>
      <c r="C3" s="1" t="s">
        <v>8</v>
      </c>
      <c r="D3" s="1" t="s">
        <v>150</v>
      </c>
      <c r="E3" s="1" t="s">
        <v>151</v>
      </c>
      <c r="F3" s="1" t="s">
        <v>152</v>
      </c>
      <c r="G3" s="1" t="s">
        <v>148</v>
      </c>
      <c r="H3" s="1" t="s">
        <v>153</v>
      </c>
      <c r="I3" s="1" t="s">
        <v>154</v>
      </c>
    </row>
    <row r="4" spans="1:9">
      <c r="A4" t="s">
        <v>10</v>
      </c>
      <c r="B4" s="3">
        <v>4350000</v>
      </c>
      <c r="C4" s="3">
        <v>500000</v>
      </c>
      <c r="D4" s="3">
        <v>5</v>
      </c>
      <c r="E4" s="3">
        <v>175000</v>
      </c>
      <c r="F4" s="3">
        <v>250000</v>
      </c>
      <c r="G4" s="3">
        <v>75000</v>
      </c>
      <c r="H4" s="3">
        <v>5275000</v>
      </c>
      <c r="I4" s="3">
        <v>5200000</v>
      </c>
    </row>
    <row r="5" spans="1:9">
      <c r="A5" t="s">
        <v>15</v>
      </c>
      <c r="B5" s="3">
        <v>5500000</v>
      </c>
      <c r="C5" s="3">
        <v>700000</v>
      </c>
      <c r="D5" s="3">
        <v>9</v>
      </c>
      <c r="E5" s="3">
        <v>405000</v>
      </c>
      <c r="F5" s="3">
        <v>250000</v>
      </c>
      <c r="G5" s="3">
        <v>0</v>
      </c>
      <c r="H5" s="3">
        <v>6855000</v>
      </c>
      <c r="I5" s="3">
        <v>6855000</v>
      </c>
    </row>
    <row r="6" spans="1:9">
      <c r="A6" t="s">
        <v>19</v>
      </c>
      <c r="B6" s="3">
        <v>6500000</v>
      </c>
      <c r="C6" s="3">
        <v>950000</v>
      </c>
      <c r="D6" s="3">
        <v>13</v>
      </c>
      <c r="E6" s="3">
        <v>715000</v>
      </c>
      <c r="F6" s="3">
        <v>250000</v>
      </c>
      <c r="G6" s="3">
        <v>75000</v>
      </c>
      <c r="H6" s="3">
        <v>8415000</v>
      </c>
      <c r="I6" s="3">
        <v>8340000</v>
      </c>
    </row>
    <row r="7" spans="1:9">
      <c r="A7" t="s">
        <v>23</v>
      </c>
      <c r="B7" s="3">
        <v>8150000</v>
      </c>
      <c r="C7" s="3">
        <v>1200000</v>
      </c>
      <c r="D7" s="3">
        <v>17</v>
      </c>
      <c r="E7" s="3">
        <v>1190000</v>
      </c>
      <c r="F7" s="3">
        <v>250000</v>
      </c>
      <c r="G7" s="3">
        <v>0</v>
      </c>
      <c r="H7" s="3">
        <v>10790000</v>
      </c>
      <c r="I7" s="3">
        <v>10790000</v>
      </c>
    </row>
    <row r="8" spans="1:9">
      <c r="A8" t="s">
        <v>27</v>
      </c>
      <c r="B8" s="3">
        <v>4500000</v>
      </c>
      <c r="C8" s="3">
        <v>500000</v>
      </c>
      <c r="D8" s="3">
        <v>25</v>
      </c>
      <c r="E8" s="3">
        <v>875000</v>
      </c>
      <c r="F8" s="3">
        <v>250000</v>
      </c>
      <c r="G8" s="3">
        <v>75000</v>
      </c>
      <c r="H8" s="3">
        <v>6125000</v>
      </c>
      <c r="I8" s="3">
        <v>6050000</v>
      </c>
    </row>
    <row r="9" spans="1:9">
      <c r="A9" t="s">
        <v>30</v>
      </c>
      <c r="B9" s="3">
        <v>5200000</v>
      </c>
      <c r="C9" s="3">
        <v>700000</v>
      </c>
      <c r="D9" s="3">
        <v>3</v>
      </c>
      <c r="E9" s="3">
        <v>135000</v>
      </c>
      <c r="F9" s="3">
        <v>250000</v>
      </c>
      <c r="G9" s="3">
        <v>0</v>
      </c>
      <c r="H9" s="3">
        <v>6285000</v>
      </c>
      <c r="I9" s="3">
        <v>6285000</v>
      </c>
    </row>
    <row r="10" spans="1:9">
      <c r="A10" t="s">
        <v>33</v>
      </c>
      <c r="B10" s="3">
        <v>6650000</v>
      </c>
      <c r="C10" s="3">
        <v>950000</v>
      </c>
      <c r="D10" s="3">
        <v>7</v>
      </c>
      <c r="E10" s="3">
        <v>385000</v>
      </c>
      <c r="F10" s="3">
        <v>0</v>
      </c>
      <c r="G10" s="3">
        <v>175000</v>
      </c>
      <c r="H10" s="3">
        <v>7985000</v>
      </c>
      <c r="I10" s="3">
        <v>7810000</v>
      </c>
    </row>
    <row r="11" spans="1:9">
      <c r="A11" t="s">
        <v>35</v>
      </c>
      <c r="B11" s="3">
        <v>8300000</v>
      </c>
      <c r="C11" s="3">
        <v>1200000</v>
      </c>
      <c r="D11" s="3">
        <v>55</v>
      </c>
      <c r="E11" s="3">
        <v>3850000</v>
      </c>
      <c r="F11" s="3">
        <v>250000</v>
      </c>
      <c r="G11" s="3">
        <v>0</v>
      </c>
      <c r="H11" s="3">
        <v>13600000</v>
      </c>
      <c r="I11" s="3">
        <v>13600000</v>
      </c>
    </row>
    <row r="12" spans="1:9">
      <c r="A12" t="s">
        <v>37</v>
      </c>
      <c r="B12" s="3">
        <v>4200000</v>
      </c>
      <c r="C12" s="3">
        <v>500000</v>
      </c>
      <c r="D12" s="3">
        <v>19</v>
      </c>
      <c r="E12" s="3">
        <v>665000</v>
      </c>
      <c r="F12" s="3">
        <v>250000</v>
      </c>
      <c r="G12" s="3">
        <v>75000</v>
      </c>
      <c r="H12" s="3">
        <v>5615000</v>
      </c>
      <c r="I12" s="3">
        <v>5540000</v>
      </c>
    </row>
    <row r="13" spans="1:9">
      <c r="A13" t="s">
        <v>39</v>
      </c>
      <c r="B13" s="3">
        <v>5350000</v>
      </c>
      <c r="C13" s="3">
        <v>700000</v>
      </c>
      <c r="D13" s="3">
        <v>23</v>
      </c>
      <c r="E13" s="3">
        <v>1035000</v>
      </c>
      <c r="F13" s="3">
        <v>250000</v>
      </c>
      <c r="G13" s="3">
        <v>0</v>
      </c>
      <c r="H13" s="3">
        <v>7335000</v>
      </c>
      <c r="I13" s="3">
        <v>7335000</v>
      </c>
    </row>
    <row r="14" spans="1:9">
      <c r="A14" t="s">
        <v>41</v>
      </c>
      <c r="B14" s="3">
        <v>6800000</v>
      </c>
      <c r="C14" s="3">
        <v>950000</v>
      </c>
      <c r="D14" s="3">
        <v>1</v>
      </c>
      <c r="E14" s="3">
        <v>55000</v>
      </c>
      <c r="F14" s="3">
        <v>250000</v>
      </c>
      <c r="G14" s="3">
        <v>75000</v>
      </c>
      <c r="H14" s="3">
        <v>8055000</v>
      </c>
      <c r="I14" s="3">
        <v>7980000</v>
      </c>
    </row>
    <row r="15" spans="1:9">
      <c r="A15" t="s">
        <v>43</v>
      </c>
      <c r="B15" s="3">
        <v>8000000</v>
      </c>
      <c r="C15" s="3">
        <v>1200000</v>
      </c>
      <c r="D15" s="3">
        <v>5</v>
      </c>
      <c r="E15" s="3">
        <v>350000</v>
      </c>
      <c r="F15" s="3">
        <v>250000</v>
      </c>
      <c r="G15" s="3">
        <v>0</v>
      </c>
      <c r="H15" s="3">
        <v>9800000</v>
      </c>
      <c r="I15" s="3">
        <v>9800000</v>
      </c>
    </row>
    <row r="16" spans="1:9">
      <c r="A16" t="s">
        <v>46</v>
      </c>
      <c r="B16" s="3">
        <v>4350000</v>
      </c>
      <c r="C16" s="3">
        <v>500000</v>
      </c>
      <c r="D16" s="3">
        <v>13</v>
      </c>
      <c r="E16" s="3">
        <v>455000</v>
      </c>
      <c r="F16" s="3">
        <v>250000</v>
      </c>
      <c r="G16" s="3">
        <v>75000</v>
      </c>
      <c r="H16" s="3">
        <v>5555000</v>
      </c>
      <c r="I16" s="3">
        <v>5480000</v>
      </c>
    </row>
    <row r="17" spans="1:9">
      <c r="A17" t="s">
        <v>48</v>
      </c>
      <c r="B17" s="3">
        <v>5500000</v>
      </c>
      <c r="C17" s="3">
        <v>700000</v>
      </c>
      <c r="D17" s="3">
        <v>17</v>
      </c>
      <c r="E17" s="3">
        <v>765000</v>
      </c>
      <c r="F17" s="3">
        <v>0</v>
      </c>
      <c r="G17" s="3">
        <v>100000</v>
      </c>
      <c r="H17" s="3">
        <v>6965000</v>
      </c>
      <c r="I17" s="3">
        <v>6865000</v>
      </c>
    </row>
    <row r="18" spans="1:9">
      <c r="A18" t="s">
        <v>50</v>
      </c>
      <c r="B18" s="3">
        <v>6500000</v>
      </c>
      <c r="C18" s="3">
        <v>950000</v>
      </c>
      <c r="D18" s="3">
        <v>21</v>
      </c>
      <c r="E18" s="3">
        <v>1155000</v>
      </c>
      <c r="F18" s="3">
        <v>250000</v>
      </c>
      <c r="G18" s="3">
        <v>75000</v>
      </c>
      <c r="H18" s="3">
        <v>8855000</v>
      </c>
      <c r="I18" s="3">
        <v>8780000</v>
      </c>
    </row>
    <row r="19" spans="1:9">
      <c r="A19" t="s">
        <v>52</v>
      </c>
      <c r="B19" s="3">
        <v>8150000</v>
      </c>
      <c r="C19" s="3">
        <v>1200000</v>
      </c>
      <c r="D19" s="3">
        <v>0</v>
      </c>
      <c r="E19" s="3">
        <v>0</v>
      </c>
      <c r="F19" s="3">
        <v>250000</v>
      </c>
      <c r="G19" s="3">
        <v>0</v>
      </c>
      <c r="H19" s="3">
        <v>9600000</v>
      </c>
      <c r="I19" s="3">
        <v>9600000</v>
      </c>
    </row>
    <row r="20" spans="1:9">
      <c r="A20" t="s">
        <v>54</v>
      </c>
      <c r="B20" s="3">
        <v>4500000</v>
      </c>
      <c r="C20" s="3">
        <v>500000</v>
      </c>
      <c r="D20" s="3">
        <v>7</v>
      </c>
      <c r="E20" s="3">
        <v>245000</v>
      </c>
      <c r="F20" s="3">
        <v>250000</v>
      </c>
      <c r="G20" s="3">
        <v>75000</v>
      </c>
      <c r="H20" s="3">
        <v>5495000</v>
      </c>
      <c r="I20" s="3">
        <v>5420000</v>
      </c>
    </row>
    <row r="21" spans="1:9">
      <c r="A21" t="s">
        <v>56</v>
      </c>
      <c r="B21" s="3">
        <v>5200000</v>
      </c>
      <c r="C21" s="3">
        <v>700000</v>
      </c>
      <c r="D21" s="3">
        <v>11</v>
      </c>
      <c r="E21" s="3">
        <v>495000</v>
      </c>
      <c r="F21" s="3">
        <v>250000</v>
      </c>
      <c r="G21" s="3">
        <v>0</v>
      </c>
      <c r="H21" s="3">
        <v>6645000</v>
      </c>
      <c r="I21" s="3">
        <v>6645000</v>
      </c>
    </row>
    <row r="22" spans="1:9">
      <c r="A22" t="s">
        <v>58</v>
      </c>
      <c r="B22" s="3">
        <v>6650000</v>
      </c>
      <c r="C22" s="3">
        <v>950000</v>
      </c>
      <c r="D22" s="3">
        <v>15</v>
      </c>
      <c r="E22" s="3">
        <v>825000</v>
      </c>
      <c r="F22" s="3">
        <v>250000</v>
      </c>
      <c r="G22" s="3">
        <v>75000</v>
      </c>
      <c r="H22" s="3">
        <v>8675000</v>
      </c>
      <c r="I22" s="3">
        <v>8600000</v>
      </c>
    </row>
    <row r="23" spans="1:9">
      <c r="A23" t="s">
        <v>60</v>
      </c>
      <c r="B23" s="3">
        <v>8300000</v>
      </c>
      <c r="C23" s="3">
        <v>1200000</v>
      </c>
      <c r="D23" s="3">
        <v>19</v>
      </c>
      <c r="E23" s="3">
        <v>1330000</v>
      </c>
      <c r="F23" s="3">
        <v>250000</v>
      </c>
      <c r="G23" s="3">
        <v>0</v>
      </c>
      <c r="H23" s="3">
        <v>11080000</v>
      </c>
      <c r="I23" s="3">
        <v>11080000</v>
      </c>
    </row>
    <row r="24" spans="1:9">
      <c r="A24" t="s">
        <v>62</v>
      </c>
      <c r="B24" s="3">
        <v>4200000</v>
      </c>
      <c r="C24" s="3">
        <v>500000</v>
      </c>
      <c r="D24" s="3">
        <v>1</v>
      </c>
      <c r="E24" s="3">
        <v>35000</v>
      </c>
      <c r="F24" s="3">
        <v>0</v>
      </c>
      <c r="G24" s="3">
        <v>175000</v>
      </c>
      <c r="H24" s="3">
        <v>4735000</v>
      </c>
      <c r="I24" s="3">
        <v>4560000</v>
      </c>
    </row>
    <row r="25" spans="1:9">
      <c r="A25" t="s">
        <v>64</v>
      </c>
      <c r="B25" s="3">
        <v>5350000</v>
      </c>
      <c r="C25" s="3">
        <v>700000</v>
      </c>
      <c r="D25" s="3">
        <v>5</v>
      </c>
      <c r="E25" s="3">
        <v>225000</v>
      </c>
      <c r="F25" s="3">
        <v>250000</v>
      </c>
      <c r="G25" s="3">
        <v>0</v>
      </c>
      <c r="H25" s="3">
        <v>6525000</v>
      </c>
      <c r="I25" s="3">
        <v>6525000</v>
      </c>
    </row>
    <row r="26" spans="1:9">
      <c r="A26" t="s">
        <v>66</v>
      </c>
      <c r="B26" s="3">
        <v>6800000</v>
      </c>
      <c r="C26" s="3">
        <v>950000</v>
      </c>
      <c r="D26" s="3">
        <v>9</v>
      </c>
      <c r="E26" s="3">
        <v>495000</v>
      </c>
      <c r="F26" s="3">
        <v>250000</v>
      </c>
      <c r="G26" s="3">
        <v>75000</v>
      </c>
      <c r="H26" s="3">
        <v>8495000</v>
      </c>
      <c r="I26" s="3">
        <v>8420000</v>
      </c>
    </row>
    <row r="27" spans="1:9">
      <c r="A27" t="s">
        <v>68</v>
      </c>
      <c r="B27" s="3">
        <v>8000000</v>
      </c>
      <c r="C27" s="3">
        <v>1200000</v>
      </c>
      <c r="D27" s="3">
        <v>13</v>
      </c>
      <c r="E27" s="3">
        <v>910000</v>
      </c>
      <c r="F27" s="3">
        <v>250000</v>
      </c>
      <c r="G27" s="3">
        <v>0</v>
      </c>
      <c r="H27" s="3">
        <v>10360000</v>
      </c>
      <c r="I27" s="3">
        <v>10360000</v>
      </c>
    </row>
    <row r="28" spans="1:9">
      <c r="A28" t="s">
        <v>70</v>
      </c>
      <c r="B28" s="3">
        <v>4350000</v>
      </c>
      <c r="C28" s="3">
        <v>500000</v>
      </c>
      <c r="D28" s="3">
        <v>21</v>
      </c>
      <c r="E28" s="3">
        <v>735000</v>
      </c>
      <c r="F28" s="3">
        <v>250000</v>
      </c>
      <c r="G28" s="3">
        <v>75000</v>
      </c>
      <c r="H28" s="3">
        <v>5835000</v>
      </c>
      <c r="I28" s="3">
        <v>5760000</v>
      </c>
    </row>
    <row r="29" spans="1:9">
      <c r="A29" t="s">
        <v>72</v>
      </c>
      <c r="B29" s="3">
        <v>5500000</v>
      </c>
      <c r="C29" s="3">
        <v>700000</v>
      </c>
      <c r="D29" s="3">
        <v>0</v>
      </c>
      <c r="E29" s="3">
        <v>0</v>
      </c>
      <c r="F29" s="3">
        <v>250000</v>
      </c>
      <c r="G29" s="3">
        <v>0</v>
      </c>
      <c r="H29" s="3">
        <v>6450000</v>
      </c>
      <c r="I29" s="3">
        <v>6450000</v>
      </c>
    </row>
    <row r="30" spans="1:9">
      <c r="A30" t="s">
        <v>74</v>
      </c>
      <c r="B30" s="3">
        <v>6500000</v>
      </c>
      <c r="C30" s="3">
        <v>950000</v>
      </c>
      <c r="D30" s="3">
        <v>3</v>
      </c>
      <c r="E30" s="3">
        <v>165000</v>
      </c>
      <c r="F30" s="3">
        <v>250000</v>
      </c>
      <c r="G30" s="3">
        <v>75000</v>
      </c>
      <c r="H30" s="3">
        <v>7865000</v>
      </c>
      <c r="I30" s="3">
        <v>7790000</v>
      </c>
    </row>
    <row r="31" spans="1:9">
      <c r="A31" t="s">
        <v>76</v>
      </c>
      <c r="B31" s="3">
        <v>8150000</v>
      </c>
      <c r="C31" s="3">
        <v>1200000</v>
      </c>
      <c r="D31" s="3">
        <v>7</v>
      </c>
      <c r="E31" s="3">
        <v>490000</v>
      </c>
      <c r="F31" s="3">
        <v>0</v>
      </c>
      <c r="G31" s="3">
        <v>100000</v>
      </c>
      <c r="H31" s="3">
        <v>9840000</v>
      </c>
      <c r="I31" s="3">
        <v>9740000</v>
      </c>
    </row>
    <row r="32" spans="1:9">
      <c r="A32" t="s">
        <v>78</v>
      </c>
      <c r="B32" s="3">
        <v>4500000</v>
      </c>
      <c r="C32" s="3">
        <v>500000</v>
      </c>
      <c r="D32" s="3">
        <v>15</v>
      </c>
      <c r="E32" s="3">
        <v>525000</v>
      </c>
      <c r="F32" s="3">
        <v>250000</v>
      </c>
      <c r="G32" s="3">
        <v>75000</v>
      </c>
      <c r="H32" s="3">
        <v>5775000</v>
      </c>
      <c r="I32" s="3">
        <v>5700000</v>
      </c>
    </row>
    <row r="33" spans="1:9">
      <c r="A33" t="s">
        <v>80</v>
      </c>
      <c r="B33" s="3">
        <v>5200000</v>
      </c>
      <c r="C33" s="3">
        <v>700000</v>
      </c>
      <c r="D33" s="3">
        <v>19</v>
      </c>
      <c r="E33" s="3">
        <v>855000</v>
      </c>
      <c r="F33" s="3">
        <v>250000</v>
      </c>
      <c r="G33" s="3">
        <v>0</v>
      </c>
      <c r="H33" s="3">
        <v>7005000</v>
      </c>
      <c r="I33" s="3">
        <v>7005000</v>
      </c>
    </row>
    <row r="34" spans="1:9">
      <c r="A34" t="s">
        <v>82</v>
      </c>
      <c r="B34" s="3">
        <v>6650000</v>
      </c>
      <c r="C34" s="3">
        <v>950000</v>
      </c>
      <c r="D34" s="3">
        <v>23</v>
      </c>
      <c r="E34" s="3">
        <v>1265000</v>
      </c>
      <c r="F34" s="3">
        <v>250000</v>
      </c>
      <c r="G34" s="3">
        <v>75000</v>
      </c>
      <c r="H34" s="3">
        <v>9115000</v>
      </c>
      <c r="I34" s="3">
        <v>9040000</v>
      </c>
    </row>
    <row r="35" spans="1:9">
      <c r="A35" t="s">
        <v>84</v>
      </c>
      <c r="B35" s="3">
        <v>8300000</v>
      </c>
      <c r="C35" s="3">
        <v>1200000</v>
      </c>
      <c r="D35" s="3">
        <v>1</v>
      </c>
      <c r="E35" s="3">
        <v>70000</v>
      </c>
      <c r="F35" s="3">
        <v>250000</v>
      </c>
      <c r="G35" s="3">
        <v>0</v>
      </c>
      <c r="H35" s="3">
        <v>9820000</v>
      </c>
      <c r="I35" s="3">
        <v>9820000</v>
      </c>
    </row>
    <row r="36" spans="1:9">
      <c r="A36" t="s">
        <v>86</v>
      </c>
      <c r="B36" s="3">
        <v>4200000</v>
      </c>
      <c r="C36" s="3">
        <v>500000</v>
      </c>
      <c r="D36" s="3">
        <v>9</v>
      </c>
      <c r="E36" s="3">
        <v>315000</v>
      </c>
      <c r="F36" s="3">
        <v>250000</v>
      </c>
      <c r="G36" s="3">
        <v>75000</v>
      </c>
      <c r="H36" s="3">
        <v>5265000</v>
      </c>
      <c r="I36" s="3">
        <v>5190000</v>
      </c>
    </row>
    <row r="37" spans="1:9">
      <c r="A37" t="s">
        <v>88</v>
      </c>
      <c r="B37" s="3">
        <v>5350000</v>
      </c>
      <c r="C37" s="3">
        <v>700000</v>
      </c>
      <c r="D37" s="3">
        <v>11</v>
      </c>
      <c r="E37" s="3">
        <v>495000</v>
      </c>
      <c r="F37" s="3">
        <v>250000</v>
      </c>
      <c r="G37" s="3">
        <v>0</v>
      </c>
      <c r="H37" s="3">
        <v>6795000</v>
      </c>
      <c r="I37" s="3">
        <v>6795000</v>
      </c>
    </row>
    <row r="38" spans="1:9">
      <c r="A38" t="s">
        <v>90</v>
      </c>
      <c r="B38" s="3">
        <v>6800000</v>
      </c>
      <c r="C38" s="3">
        <v>950000</v>
      </c>
      <c r="D38" s="3">
        <v>17</v>
      </c>
      <c r="E38" s="3">
        <v>935000</v>
      </c>
      <c r="F38" s="3">
        <v>0</v>
      </c>
      <c r="G38" s="3">
        <v>175000</v>
      </c>
      <c r="H38" s="3">
        <v>8685000</v>
      </c>
      <c r="I38" s="3">
        <v>8510000</v>
      </c>
    </row>
    <row r="39" spans="1:9">
      <c r="A39" t="s">
        <v>92</v>
      </c>
      <c r="B39" s="3">
        <v>8000000</v>
      </c>
      <c r="C39" s="3">
        <v>1200000</v>
      </c>
      <c r="D39" s="3">
        <v>21</v>
      </c>
      <c r="E39" s="3">
        <v>1470000</v>
      </c>
      <c r="F39" s="3">
        <v>250000</v>
      </c>
      <c r="G39" s="3">
        <v>0</v>
      </c>
      <c r="H39" s="3">
        <v>10920000</v>
      </c>
      <c r="I39" s="3">
        <v>10920000</v>
      </c>
    </row>
    <row r="40" spans="1:9">
      <c r="A40" t="s">
        <v>94</v>
      </c>
      <c r="B40" s="3">
        <v>4350000</v>
      </c>
      <c r="C40" s="3">
        <v>500000</v>
      </c>
      <c r="D40" s="3">
        <v>3</v>
      </c>
      <c r="E40" s="3">
        <v>105000</v>
      </c>
      <c r="F40" s="3">
        <v>250000</v>
      </c>
      <c r="G40" s="3">
        <v>75000</v>
      </c>
      <c r="H40" s="3">
        <v>5205000</v>
      </c>
      <c r="I40" s="3">
        <v>5130000</v>
      </c>
    </row>
    <row r="41" spans="1:9">
      <c r="A41" t="s">
        <v>96</v>
      </c>
      <c r="B41" s="3">
        <v>5500000</v>
      </c>
      <c r="C41" s="3">
        <v>700000</v>
      </c>
      <c r="D41" s="3">
        <v>7</v>
      </c>
      <c r="E41" s="3">
        <v>315000</v>
      </c>
      <c r="F41" s="3">
        <v>250000</v>
      </c>
      <c r="G41" s="3">
        <v>0</v>
      </c>
      <c r="H41" s="3">
        <v>6765000</v>
      </c>
      <c r="I41" s="3">
        <v>6765000</v>
      </c>
    </row>
    <row r="42" spans="1:9">
      <c r="A42" t="s">
        <v>98</v>
      </c>
      <c r="B42" s="3">
        <v>6500000</v>
      </c>
      <c r="C42" s="3">
        <v>950000</v>
      </c>
      <c r="D42" s="3">
        <v>11</v>
      </c>
      <c r="E42" s="3">
        <v>605000</v>
      </c>
      <c r="F42" s="3">
        <v>250000</v>
      </c>
      <c r="G42" s="3">
        <v>75000</v>
      </c>
      <c r="H42" s="3">
        <v>8305000</v>
      </c>
      <c r="I42" s="3">
        <v>8230000</v>
      </c>
    </row>
    <row r="43" spans="1:9">
      <c r="A43" t="s">
        <v>100</v>
      </c>
      <c r="B43" s="3">
        <v>8150000</v>
      </c>
      <c r="C43" s="3">
        <v>1200000</v>
      </c>
      <c r="D43" s="3">
        <v>15</v>
      </c>
      <c r="E43" s="3">
        <v>1050000</v>
      </c>
      <c r="F43" s="3">
        <v>250000</v>
      </c>
      <c r="G43" s="3">
        <v>0</v>
      </c>
      <c r="H43" s="3">
        <v>10650000</v>
      </c>
      <c r="I43" s="3">
        <v>10650000</v>
      </c>
    </row>
    <row r="44" spans="1:9">
      <c r="A44" t="s">
        <v>102</v>
      </c>
      <c r="B44" s="3">
        <v>4500000</v>
      </c>
      <c r="C44" s="3">
        <v>500000</v>
      </c>
      <c r="D44" s="3">
        <v>23</v>
      </c>
      <c r="E44" s="3">
        <v>805000</v>
      </c>
      <c r="F44" s="3">
        <v>250000</v>
      </c>
      <c r="G44" s="3">
        <v>75000</v>
      </c>
      <c r="H44" s="3">
        <v>6055000</v>
      </c>
      <c r="I44" s="3">
        <v>5980000</v>
      </c>
    </row>
    <row r="45" spans="1:9">
      <c r="A45" t="s">
        <v>104</v>
      </c>
      <c r="B45" s="3">
        <v>5200000</v>
      </c>
      <c r="C45" s="3">
        <v>700000</v>
      </c>
      <c r="D45" s="3">
        <v>1</v>
      </c>
      <c r="E45" s="3">
        <v>45000</v>
      </c>
      <c r="F45" s="3">
        <v>0</v>
      </c>
      <c r="G45" s="3">
        <v>100000</v>
      </c>
      <c r="H45" s="3">
        <v>5945000</v>
      </c>
      <c r="I45" s="3">
        <v>5845000</v>
      </c>
    </row>
    <row r="46" spans="1:9">
      <c r="A46" t="s">
        <v>106</v>
      </c>
      <c r="B46" s="3">
        <v>6650000</v>
      </c>
      <c r="C46" s="3">
        <v>950000</v>
      </c>
      <c r="D46" s="3">
        <v>5</v>
      </c>
      <c r="E46" s="3">
        <v>275000</v>
      </c>
      <c r="F46" s="3">
        <v>250000</v>
      </c>
      <c r="G46" s="3">
        <v>75000</v>
      </c>
      <c r="H46" s="3">
        <v>8125000</v>
      </c>
      <c r="I46" s="3">
        <v>8050000</v>
      </c>
    </row>
    <row r="47" spans="1:9">
      <c r="A47" t="s">
        <v>108</v>
      </c>
      <c r="B47" s="3">
        <v>8300000</v>
      </c>
      <c r="C47" s="3">
        <v>1200000</v>
      </c>
      <c r="D47" s="3">
        <v>9</v>
      </c>
      <c r="E47" s="3">
        <v>630000</v>
      </c>
      <c r="F47" s="3">
        <v>250000</v>
      </c>
      <c r="G47" s="3">
        <v>0</v>
      </c>
      <c r="H47" s="3">
        <v>10380000</v>
      </c>
      <c r="I47" s="3">
        <v>10380000</v>
      </c>
    </row>
    <row r="48" spans="1:9">
      <c r="A48" t="s">
        <v>110</v>
      </c>
      <c r="B48" s="3">
        <v>4200000</v>
      </c>
      <c r="C48" s="3">
        <v>500000</v>
      </c>
      <c r="D48" s="3">
        <v>17</v>
      </c>
      <c r="E48" s="3">
        <v>595000</v>
      </c>
      <c r="F48" s="3">
        <v>250000</v>
      </c>
      <c r="G48" s="3">
        <v>75000</v>
      </c>
      <c r="H48" s="3">
        <v>5545000</v>
      </c>
      <c r="I48" s="3">
        <v>5470000</v>
      </c>
    </row>
    <row r="49" spans="1:9">
      <c r="A49" t="s">
        <v>112</v>
      </c>
      <c r="B49" s="3">
        <v>5350000</v>
      </c>
      <c r="C49" s="3">
        <v>700000</v>
      </c>
      <c r="D49" s="3">
        <v>21</v>
      </c>
      <c r="E49" s="3">
        <v>945000</v>
      </c>
      <c r="F49" s="3">
        <v>250000</v>
      </c>
      <c r="G49" s="3">
        <v>0</v>
      </c>
      <c r="H49" s="3">
        <v>7245000</v>
      </c>
      <c r="I49" s="3">
        <v>7245000</v>
      </c>
    </row>
    <row r="50" spans="1:9">
      <c r="A50" t="s">
        <v>114</v>
      </c>
      <c r="B50" s="3">
        <v>6800000</v>
      </c>
      <c r="C50" s="3">
        <v>950000</v>
      </c>
      <c r="D50" s="3">
        <v>0</v>
      </c>
      <c r="E50" s="3">
        <v>0</v>
      </c>
      <c r="F50" s="3">
        <v>250000</v>
      </c>
      <c r="G50" s="3">
        <v>75000</v>
      </c>
      <c r="H50" s="3">
        <v>8000000</v>
      </c>
      <c r="I50" s="3">
        <v>7925000</v>
      </c>
    </row>
    <row r="51" spans="1:9">
      <c r="A51" t="s">
        <v>116</v>
      </c>
      <c r="B51" s="3">
        <v>8000000</v>
      </c>
      <c r="C51" s="3">
        <v>1200000</v>
      </c>
      <c r="D51" s="3">
        <v>3</v>
      </c>
      <c r="E51" s="3">
        <v>210000</v>
      </c>
      <c r="F51" s="3">
        <v>250000</v>
      </c>
      <c r="G51" s="3">
        <v>0</v>
      </c>
      <c r="H51" s="3">
        <v>9660000</v>
      </c>
      <c r="I51" s="3">
        <v>9660000</v>
      </c>
    </row>
    <row r="52" spans="1:9">
      <c r="A52" t="s">
        <v>118</v>
      </c>
      <c r="B52" s="3">
        <v>4350000</v>
      </c>
      <c r="C52" s="3">
        <v>500000</v>
      </c>
      <c r="D52" s="3">
        <v>4</v>
      </c>
      <c r="E52" s="3">
        <v>140000</v>
      </c>
      <c r="F52" s="3">
        <v>250000</v>
      </c>
      <c r="G52" s="3">
        <v>75000</v>
      </c>
      <c r="H52" s="3">
        <v>5240000</v>
      </c>
      <c r="I52" s="3">
        <v>5165000</v>
      </c>
    </row>
    <row r="53" spans="1:9">
      <c r="A53" t="s">
        <v>121</v>
      </c>
      <c r="B53" s="3">
        <v>5500000</v>
      </c>
      <c r="C53" s="3">
        <v>700000</v>
      </c>
      <c r="D53" s="3">
        <v>15</v>
      </c>
      <c r="E53" s="3">
        <v>675000</v>
      </c>
      <c r="F53" s="3">
        <v>250000</v>
      </c>
      <c r="G53" s="3">
        <v>0</v>
      </c>
      <c r="H53" s="3">
        <v>7125000</v>
      </c>
      <c r="I53" s="3">
        <v>7125000</v>
      </c>
    </row>
    <row r="54" spans="1:9">
      <c r="A54" t="s">
        <v>123</v>
      </c>
      <c r="B54" s="3">
        <v>6500000</v>
      </c>
      <c r="C54" s="3">
        <v>950000</v>
      </c>
      <c r="D54" s="3">
        <v>19</v>
      </c>
      <c r="E54" s="3">
        <v>1045000</v>
      </c>
      <c r="F54" s="3">
        <v>250000</v>
      </c>
      <c r="G54" s="3">
        <v>75000</v>
      </c>
      <c r="H54" s="3">
        <v>8745000</v>
      </c>
      <c r="I54" s="3">
        <v>8670000</v>
      </c>
    </row>
    <row r="55" spans="1:9">
      <c r="A55" t="s">
        <v>125</v>
      </c>
      <c r="B55" s="3">
        <v>8150000</v>
      </c>
      <c r="C55" s="3">
        <v>1200000</v>
      </c>
      <c r="D55" s="3">
        <v>0</v>
      </c>
      <c r="E55" s="3">
        <v>0</v>
      </c>
      <c r="F55" s="3">
        <v>250000</v>
      </c>
      <c r="G55" s="3">
        <v>0</v>
      </c>
      <c r="H55" s="3">
        <v>9600000</v>
      </c>
      <c r="I55" s="3">
        <v>9600000</v>
      </c>
    </row>
    <row r="56" spans="1:9">
      <c r="A56" t="s">
        <v>127</v>
      </c>
      <c r="B56" s="3">
        <v>4500000</v>
      </c>
      <c r="C56" s="3">
        <v>500000</v>
      </c>
      <c r="D56" s="3">
        <v>5</v>
      </c>
      <c r="E56" s="3">
        <v>175000</v>
      </c>
      <c r="F56" s="3">
        <v>250000</v>
      </c>
      <c r="G56" s="3">
        <v>75000</v>
      </c>
      <c r="H56" s="3">
        <v>5425000</v>
      </c>
      <c r="I56" s="3">
        <v>5350000</v>
      </c>
    </row>
    <row r="57" spans="1:9">
      <c r="A57" t="s">
        <v>129</v>
      </c>
      <c r="B57" s="3">
        <v>5200000</v>
      </c>
      <c r="C57" s="3">
        <v>700000</v>
      </c>
      <c r="D57" s="3">
        <v>9</v>
      </c>
      <c r="E57" s="3">
        <v>405000</v>
      </c>
      <c r="F57" s="3">
        <v>250000</v>
      </c>
      <c r="G57" s="3">
        <v>0</v>
      </c>
      <c r="H57" s="3">
        <v>6555000</v>
      </c>
      <c r="I57" s="3">
        <v>6555000</v>
      </c>
    </row>
    <row r="58" spans="1:9">
      <c r="A58" t="s">
        <v>131</v>
      </c>
      <c r="B58" s="3">
        <v>6650000</v>
      </c>
      <c r="C58" s="3">
        <v>950000</v>
      </c>
      <c r="D58" s="3">
        <v>13</v>
      </c>
      <c r="E58" s="3">
        <v>715000</v>
      </c>
      <c r="F58" s="3">
        <v>250000</v>
      </c>
      <c r="G58" s="3">
        <v>75000</v>
      </c>
      <c r="H58" s="3">
        <v>8565000</v>
      </c>
      <c r="I58" s="3">
        <v>8490000</v>
      </c>
    </row>
    <row r="59" spans="1:9">
      <c r="A59" t="s">
        <v>133</v>
      </c>
      <c r="B59" s="3">
        <v>8300000</v>
      </c>
      <c r="C59" s="3">
        <v>1200000</v>
      </c>
      <c r="D59" s="3">
        <v>17</v>
      </c>
      <c r="E59" s="3">
        <v>1190000</v>
      </c>
      <c r="F59" s="3">
        <v>0</v>
      </c>
      <c r="G59" s="3">
        <v>100000</v>
      </c>
      <c r="H59" s="3">
        <v>10690000</v>
      </c>
      <c r="I59" s="3">
        <v>10590000</v>
      </c>
    </row>
    <row r="60" spans="1:9">
      <c r="A60" t="s">
        <v>135</v>
      </c>
      <c r="B60" s="3">
        <v>4200000</v>
      </c>
      <c r="C60" s="3">
        <v>500000</v>
      </c>
      <c r="D60" s="3">
        <v>25</v>
      </c>
      <c r="E60" s="3">
        <v>875000</v>
      </c>
      <c r="F60" s="3">
        <v>250000</v>
      </c>
      <c r="G60" s="3">
        <v>75000</v>
      </c>
      <c r="H60" s="3">
        <v>5825000</v>
      </c>
      <c r="I60" s="3">
        <v>5750000</v>
      </c>
    </row>
    <row r="61" spans="1:9">
      <c r="A61" t="s">
        <v>137</v>
      </c>
      <c r="B61" s="3">
        <v>5350000</v>
      </c>
      <c r="C61" s="3">
        <v>700000</v>
      </c>
      <c r="D61" s="3">
        <v>3</v>
      </c>
      <c r="E61" s="3">
        <v>135000</v>
      </c>
      <c r="F61" s="3">
        <v>250000</v>
      </c>
      <c r="G61" s="3">
        <v>0</v>
      </c>
      <c r="H61" s="3">
        <v>6435000</v>
      </c>
      <c r="I61" s="3">
        <v>6435000</v>
      </c>
    </row>
    <row r="62" spans="1:9">
      <c r="A62" t="s">
        <v>139</v>
      </c>
      <c r="B62" s="3">
        <v>6800000</v>
      </c>
      <c r="C62" s="3">
        <v>950000</v>
      </c>
      <c r="D62" s="3">
        <v>7</v>
      </c>
      <c r="E62" s="3">
        <v>385000</v>
      </c>
      <c r="F62" s="3">
        <v>250000</v>
      </c>
      <c r="G62" s="3">
        <v>75000</v>
      </c>
      <c r="H62" s="3">
        <v>8385000</v>
      </c>
      <c r="I62" s="3">
        <v>8310000</v>
      </c>
    </row>
    <row r="63" spans="1:9">
      <c r="A63" t="s">
        <v>141</v>
      </c>
      <c r="B63" s="3">
        <v>8000000</v>
      </c>
      <c r="C63" s="3">
        <v>1200000</v>
      </c>
      <c r="D63" s="3">
        <v>11</v>
      </c>
      <c r="E63" s="3">
        <v>770000</v>
      </c>
      <c r="F63" s="3">
        <v>250000</v>
      </c>
      <c r="G63" s="3">
        <v>0</v>
      </c>
      <c r="H63" s="3">
        <v>10220000</v>
      </c>
      <c r="I63" s="3">
        <v>10220000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2"/>
  <sheetViews>
    <sheetView tabSelected="1" topLeftCell="A46" zoomScale="80" zoomScaleNormal="80" workbookViewId="0">
      <selection activeCell="D11" sqref="D11"/>
    </sheetView>
  </sheetViews>
  <sheetFormatPr defaultRowHeight="13.8"/>
  <cols>
    <col min="1" max="1" width="12" customWidth="1"/>
    <col min="2" max="2" width="18" customWidth="1"/>
    <col min="3" max="3" width="20" customWidth="1"/>
    <col min="4" max="4" width="14" customWidth="1"/>
    <col min="5" max="5" width="15" customWidth="1"/>
    <col min="6" max="6" width="16" customWidth="1"/>
    <col min="7" max="7" width="18" customWidth="1"/>
    <col min="8" max="8" width="12" customWidth="1"/>
    <col min="9" max="9" width="14" customWidth="1"/>
    <col min="10" max="10" width="12" customWidth="1"/>
    <col min="11" max="11" width="20" customWidth="1"/>
    <col min="12" max="12" width="16" customWidth="1"/>
    <col min="13" max="16" width="15" customWidth="1"/>
    <col min="17" max="17" width="12" customWidth="1"/>
    <col min="18" max="18" width="18" customWidth="1"/>
  </cols>
  <sheetData>
    <row r="1" spans="1:18" ht="19.2" customHeight="1">
      <c r="A1" s="7" t="s">
        <v>155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7.6">
      <c r="A2" s="1" t="s">
        <v>2</v>
      </c>
      <c r="B2" s="1" t="s">
        <v>3</v>
      </c>
      <c r="C2" s="1" t="s">
        <v>4</v>
      </c>
      <c r="D2" s="1" t="s">
        <v>0</v>
      </c>
      <c r="E2" s="1" t="s">
        <v>7</v>
      </c>
      <c r="F2" s="1" t="s">
        <v>8</v>
      </c>
      <c r="G2" s="1" t="s">
        <v>147</v>
      </c>
      <c r="H2" s="1" t="s">
        <v>9</v>
      </c>
      <c r="I2" s="1" t="s">
        <v>151</v>
      </c>
      <c r="J2" s="1" t="s">
        <v>145</v>
      </c>
      <c r="K2" s="1" t="s">
        <v>152</v>
      </c>
      <c r="L2" s="1" t="s">
        <v>148</v>
      </c>
      <c r="M2" s="1" t="s">
        <v>153</v>
      </c>
      <c r="N2" s="1" t="s">
        <v>154</v>
      </c>
      <c r="O2" s="1" t="s">
        <v>156</v>
      </c>
      <c r="P2" s="1" t="s">
        <v>157</v>
      </c>
      <c r="Q2" s="1" t="s">
        <v>158</v>
      </c>
      <c r="R2" s="1" t="s">
        <v>159</v>
      </c>
    </row>
    <row r="3" spans="1:18" s="11" customFormat="1">
      <c r="A3" s="11" t="s">
        <v>10</v>
      </c>
      <c r="B3" s="11" t="str">
        <f>IFERROR(VLOOKUP(A3,Employee_Master!$A$4:$I$63,2,FALSE),0)</f>
        <v>Employee 001</v>
      </c>
      <c r="C3" s="11" t="str">
        <f>IFERROR(VLOOKUP(A3,Employee_Master!$A$4:$I$63,3,FALSE),0)</f>
        <v>Production</v>
      </c>
      <c r="D3" s="11" t="str">
        <f>IFERROR(VLOOKUP(A3,Employee_Master!$A$4:$I$63,4,FALSE),0)</f>
        <v>Active</v>
      </c>
      <c r="E3" s="12">
        <f>IFERROR(VLOOKUP(A3,Employee_Master!$A$4:$I$63,7,FALSE),0)</f>
        <v>4350000</v>
      </c>
      <c r="F3" s="12">
        <f>IFERROR(VLOOKUP(A3,Employee_Master!$A$4:$I$63,8,FALSE),0)</f>
        <v>500000</v>
      </c>
      <c r="G3" s="11">
        <f>IFERROR(VLOOKUP(A3,Attendance_Current!$A$4:$F$63,5,FALSE),0)</f>
        <v>5</v>
      </c>
      <c r="H3" s="12">
        <f>IFERROR(VLOOKUP(A3,Employee_Master!$A$4:$I$63,9,FALSE),0)</f>
        <v>35000</v>
      </c>
      <c r="I3" s="12">
        <f>H3*G3</f>
        <v>175000</v>
      </c>
      <c r="J3" s="11">
        <f>IFERROR(VLOOKUP(A3,Attendance_Current!$A$4:$F$63,3,FALSE),0)</f>
        <v>0</v>
      </c>
      <c r="K3" s="12">
        <f>IF(J3=0,250000,0)</f>
        <v>250000</v>
      </c>
      <c r="L3" s="12">
        <f>IFERROR(VLOOKUP(A3,Prior_Month_Payroll!$A$4:$I$63,7,FALSE),0)</f>
        <v>75000</v>
      </c>
      <c r="M3" s="12">
        <f>SUM(E3:F3,I3,K3)</f>
        <v>5275000</v>
      </c>
      <c r="N3" s="12">
        <f>M3-L3</f>
        <v>5200000</v>
      </c>
      <c r="O3" s="12">
        <f>IFERROR(VLOOKUP(A3,Prior_Month_Payroll!$A$4:$I$63,9,FALSE),0)</f>
        <v>5200000</v>
      </c>
      <c r="P3" s="12">
        <f>N3-O3</f>
        <v>0</v>
      </c>
      <c r="Q3" s="13">
        <f>IFERROR(P3/O3,0)</f>
        <v>0</v>
      </c>
      <c r="R3" s="11" t="str">
        <f>IF(D3&lt;&gt;"active","check status",IF(G3&gt;40,"Check OT",IF(ABS(Q3)&gt;15%,"check variance","OK")))</f>
        <v>OK</v>
      </c>
    </row>
    <row r="4" spans="1:18" s="11" customFormat="1">
      <c r="A4" s="11" t="s">
        <v>15</v>
      </c>
      <c r="B4" s="11" t="str">
        <f>IFERROR(VLOOKUP(A4,Employee_Master!$A$4:$I$63,2,FALSE),0)</f>
        <v>Employee 002</v>
      </c>
      <c r="C4" s="11" t="str">
        <f>IFERROR(VLOOKUP(A4,Employee_Master!$A$4:$I$63,3,FALSE),0)</f>
        <v>Quality Control</v>
      </c>
      <c r="D4" s="11" t="str">
        <f>IFERROR(VLOOKUP(A4,Employee_Master!$A$4:$I$63,4,FALSE),0)</f>
        <v>Active</v>
      </c>
      <c r="E4" s="12">
        <f>IFERROR(VLOOKUP(A4,Employee_Master!$A$4:$I$63,7,FALSE),0)</f>
        <v>5500000</v>
      </c>
      <c r="F4" s="12">
        <f>IFERROR(VLOOKUP(A4,Employee_Master!$A$4:$I$63,8,FALSE),0)</f>
        <v>700000</v>
      </c>
      <c r="G4" s="11">
        <f>IFERROR(VLOOKUP(A4,Attendance_Current!$A$4:$F$63,5,FALSE),0)</f>
        <v>10</v>
      </c>
      <c r="H4" s="12">
        <f>IFERROR(VLOOKUP(A4,Employee_Master!$A$4:$I$63,9,FALSE),0)</f>
        <v>45000</v>
      </c>
      <c r="I4" s="12">
        <f>H4*G4</f>
        <v>450000</v>
      </c>
      <c r="J4" s="11">
        <f>IFERROR(VLOOKUP(A4,Attendance_Current!$A$4:$F$63,3,FALSE),0)</f>
        <v>0</v>
      </c>
      <c r="K4" s="12">
        <f>IF(J4=0,250000,0)</f>
        <v>250000</v>
      </c>
      <c r="L4" s="12">
        <f>IFERROR(VLOOKUP(A4,Prior_Month_Payroll!$A$4:$I$63,7,FALSE),0)</f>
        <v>0</v>
      </c>
      <c r="M4" s="12">
        <f>SUM(E4:F4,I4,K4)</f>
        <v>6900000</v>
      </c>
      <c r="N4" s="12">
        <f>M4-L4</f>
        <v>6900000</v>
      </c>
      <c r="O4" s="12">
        <f>IFERROR(VLOOKUP(A4,Prior_Month_Payroll!$A$4:$I$63,9,FALSE),0)</f>
        <v>6855000</v>
      </c>
      <c r="P4" s="12">
        <f>N4-O4</f>
        <v>45000</v>
      </c>
      <c r="Q4" s="13">
        <f>IFERROR(P4/O4,0)</f>
        <v>6.5645514223194746E-3</v>
      </c>
      <c r="R4" s="11" t="str">
        <f>IF(D4&lt;&gt;"active","check status",IF(G4&gt;40,"Check OT",IF(ABS(Q4)&gt;15%,"check variance","OK")))</f>
        <v>OK</v>
      </c>
    </row>
    <row r="5" spans="1:18" s="11" customFormat="1">
      <c r="A5" s="11" t="s">
        <v>19</v>
      </c>
      <c r="B5" s="11" t="str">
        <f>IFERROR(VLOOKUP(A5,Employee_Master!$A$4:$I$63,2,FALSE),0)</f>
        <v>Employee 003</v>
      </c>
      <c r="C5" s="11" t="str">
        <f>IFERROR(VLOOKUP(A5,Employee_Master!$A$4:$I$63,3,FALSE),0)</f>
        <v>Warehouse</v>
      </c>
      <c r="D5" s="11" t="str">
        <f>IFERROR(VLOOKUP(A5,Employee_Master!$A$4:$I$63,4,FALSE),0)</f>
        <v>Active</v>
      </c>
      <c r="E5" s="12">
        <f>IFERROR(VLOOKUP(A5,Employee_Master!$A$4:$I$63,7,FALSE),0)</f>
        <v>6500000</v>
      </c>
      <c r="F5" s="12">
        <f>IFERROR(VLOOKUP(A5,Employee_Master!$A$4:$I$63,8,FALSE),0)</f>
        <v>950000</v>
      </c>
      <c r="G5" s="11">
        <f>IFERROR(VLOOKUP(A5,Attendance_Current!$A$4:$F$63,5,FALSE),0)</f>
        <v>15</v>
      </c>
      <c r="H5" s="12">
        <f>IFERROR(VLOOKUP(A5,Employee_Master!$A$4:$I$63,9,FALSE),0)</f>
        <v>55000</v>
      </c>
      <c r="I5" s="12">
        <f>H5*G5</f>
        <v>825000</v>
      </c>
      <c r="J5" s="11">
        <f>IFERROR(VLOOKUP(A5,Attendance_Current!$A$4:$F$63,3,FALSE),0)</f>
        <v>0</v>
      </c>
      <c r="K5" s="12">
        <f>IF(J5=0,250000,0)</f>
        <v>250000</v>
      </c>
      <c r="L5" s="12">
        <f>IFERROR(VLOOKUP(A5,Prior_Month_Payroll!$A$4:$I$63,7,FALSE),0)</f>
        <v>75000</v>
      </c>
      <c r="M5" s="12">
        <f>SUM(E5:F5,I5,K5)</f>
        <v>8525000</v>
      </c>
      <c r="N5" s="12">
        <f>M5-L5</f>
        <v>8450000</v>
      </c>
      <c r="O5" s="12">
        <f>IFERROR(VLOOKUP(A5,Prior_Month_Payroll!$A$4:$I$63,9,FALSE),0)</f>
        <v>8340000</v>
      </c>
      <c r="P5" s="12">
        <f>N5-O5</f>
        <v>110000</v>
      </c>
      <c r="Q5" s="13">
        <f>IFERROR(P5/O5,0)</f>
        <v>1.3189448441247002E-2</v>
      </c>
      <c r="R5" s="11" t="str">
        <f>IF(D5&lt;&gt;"active","check status",IF(G5&gt;40,"Check OT",IF(ABS(Q5)&gt;15%,"check variance","OK")))</f>
        <v>OK</v>
      </c>
    </row>
    <row r="6" spans="1:18" s="11" customFormat="1">
      <c r="A6" s="11" t="s">
        <v>23</v>
      </c>
      <c r="B6" s="11" t="str">
        <f>IFERROR(VLOOKUP(A6,Employee_Master!$A$4:$I$63,2,FALSE),0)</f>
        <v>Employee 004</v>
      </c>
      <c r="C6" s="11" t="str">
        <f>IFERROR(VLOOKUP(A6,Employee_Master!$A$4:$I$63,3,FALSE),0)</f>
        <v>Engineering</v>
      </c>
      <c r="D6" s="11" t="str">
        <f>IFERROR(VLOOKUP(A6,Employee_Master!$A$4:$I$63,4,FALSE),0)</f>
        <v>Active</v>
      </c>
      <c r="E6" s="12">
        <f>IFERROR(VLOOKUP(A6,Employee_Master!$A$4:$I$63,7,FALSE),0)</f>
        <v>8150000</v>
      </c>
      <c r="F6" s="12">
        <f>IFERROR(VLOOKUP(A6,Employee_Master!$A$4:$I$63,8,FALSE),0)</f>
        <v>1200000</v>
      </c>
      <c r="G6" s="11">
        <f>IFERROR(VLOOKUP(A6,Attendance_Current!$A$4:$F$63,5,FALSE),0)</f>
        <v>20</v>
      </c>
      <c r="H6" s="12">
        <f>IFERROR(VLOOKUP(A6,Employee_Master!$A$4:$I$63,9,FALSE),0)</f>
        <v>70000</v>
      </c>
      <c r="I6" s="12">
        <f>H6*G6</f>
        <v>1400000</v>
      </c>
      <c r="J6" s="11">
        <f>IFERROR(VLOOKUP(A6,Attendance_Current!$A$4:$F$63,3,FALSE),0)</f>
        <v>0</v>
      </c>
      <c r="K6" s="12">
        <f>IF(J6=0,250000,0)</f>
        <v>250000</v>
      </c>
      <c r="L6" s="12">
        <f>IFERROR(VLOOKUP(A6,Prior_Month_Payroll!$A$4:$I$63,7,FALSE),0)</f>
        <v>0</v>
      </c>
      <c r="M6" s="12">
        <f>SUM(E6:F6,I6,K6)</f>
        <v>11000000</v>
      </c>
      <c r="N6" s="12">
        <f>M6-L6</f>
        <v>11000000</v>
      </c>
      <c r="O6" s="12">
        <f>IFERROR(VLOOKUP(A6,Prior_Month_Payroll!$A$4:$I$63,9,FALSE),0)</f>
        <v>10790000</v>
      </c>
      <c r="P6" s="12">
        <f>N6-O6</f>
        <v>210000</v>
      </c>
      <c r="Q6" s="13">
        <f>IFERROR(P6/O6,0)</f>
        <v>1.9462465245597776E-2</v>
      </c>
      <c r="R6" s="11" t="str">
        <f>IF(D6&lt;&gt;"active","check status",IF(G6&gt;40,"Check OT",IF(ABS(Q6)&gt;15%,"check variance","OK")))</f>
        <v>OK</v>
      </c>
    </row>
    <row r="7" spans="1:18" s="11" customFormat="1">
      <c r="A7" s="11" t="s">
        <v>27</v>
      </c>
      <c r="B7" s="11" t="str">
        <f>IFERROR(VLOOKUP(A7,Employee_Master!$A$4:$I$63,2,FALSE),0)</f>
        <v>Employee 005</v>
      </c>
      <c r="C7" s="11" t="str">
        <f>IFERROR(VLOOKUP(A7,Employee_Master!$A$4:$I$63,3,FALSE),0)</f>
        <v>Finance</v>
      </c>
      <c r="D7" s="11" t="str">
        <f>IFERROR(VLOOKUP(A7,Employee_Master!$A$4:$I$63,4,FALSE),0)</f>
        <v>Active</v>
      </c>
      <c r="E7" s="12">
        <f>IFERROR(VLOOKUP(A7,Employee_Master!$A$4:$I$63,7,FALSE),0)</f>
        <v>4500000</v>
      </c>
      <c r="F7" s="12">
        <f>IFERROR(VLOOKUP(A7,Employee_Master!$A$4:$I$63,8,FALSE),0)</f>
        <v>500000</v>
      </c>
      <c r="G7" s="11">
        <f>IFERROR(VLOOKUP(A7,Attendance_Current!$A$4:$F$63,5,FALSE),0)</f>
        <v>25</v>
      </c>
      <c r="H7" s="12">
        <f>IFERROR(VLOOKUP(A7,Employee_Master!$A$4:$I$63,9,FALSE),0)</f>
        <v>35000</v>
      </c>
      <c r="I7" s="12">
        <f>H7*G7</f>
        <v>875000</v>
      </c>
      <c r="J7" s="11">
        <f>IFERROR(VLOOKUP(A7,Attendance_Current!$A$4:$F$63,3,FALSE),0)</f>
        <v>0</v>
      </c>
      <c r="K7" s="12">
        <f>IF(J7=0,250000,0)</f>
        <v>250000</v>
      </c>
      <c r="L7" s="12">
        <f>IFERROR(VLOOKUP(A7,Prior_Month_Payroll!$A$4:$I$63,7,FALSE),0)</f>
        <v>75000</v>
      </c>
      <c r="M7" s="12">
        <f>SUM(E7:F7,I7,K7)</f>
        <v>6125000</v>
      </c>
      <c r="N7" s="12">
        <f>M7-L7</f>
        <v>6050000</v>
      </c>
      <c r="O7" s="12">
        <f>IFERROR(VLOOKUP(A7,Prior_Month_Payroll!$A$4:$I$63,9,FALSE),0)</f>
        <v>6050000</v>
      </c>
      <c r="P7" s="12">
        <f>N7-O7</f>
        <v>0</v>
      </c>
      <c r="Q7" s="13">
        <f>IFERROR(P7/O7,0)</f>
        <v>0</v>
      </c>
      <c r="R7" s="11" t="str">
        <f>IF(D7&lt;&gt;"active","check status",IF(G7&gt;40,"Check OT",IF(ABS(Q7)&gt;15%,"check variance","OK")))</f>
        <v>OK</v>
      </c>
    </row>
    <row r="8" spans="1:18" s="11" customFormat="1">
      <c r="A8" s="11" t="s">
        <v>30</v>
      </c>
      <c r="B8" s="11" t="str">
        <f>IFERROR(VLOOKUP(A8,Employee_Master!$A$4:$I$63,2,FALSE),0)</f>
        <v>Employee 006</v>
      </c>
      <c r="C8" s="11" t="str">
        <f>IFERROR(VLOOKUP(A8,Employee_Master!$A$4:$I$63,3,FALSE),0)</f>
        <v>HR</v>
      </c>
      <c r="D8" s="11" t="str">
        <f>IFERROR(VLOOKUP(A8,Employee_Master!$A$4:$I$63,4,FALSE),0)</f>
        <v>Active</v>
      </c>
      <c r="E8" s="12">
        <f>IFERROR(VLOOKUP(A8,Employee_Master!$A$4:$I$63,7,FALSE),0)</f>
        <v>5200000</v>
      </c>
      <c r="F8" s="12">
        <f>IFERROR(VLOOKUP(A8,Employee_Master!$A$4:$I$63,8,FALSE),0)</f>
        <v>700000</v>
      </c>
      <c r="G8" s="11">
        <f>IFERROR(VLOOKUP(A8,Attendance_Current!$A$4:$F$63,5,FALSE),0)</f>
        <v>4</v>
      </c>
      <c r="H8" s="12">
        <f>IFERROR(VLOOKUP(A8,Employee_Master!$A$4:$I$63,9,FALSE),0)</f>
        <v>45000</v>
      </c>
      <c r="I8" s="12">
        <f>H8*G8</f>
        <v>180000</v>
      </c>
      <c r="J8" s="11">
        <f>IFERROR(VLOOKUP(A8,Attendance_Current!$A$4:$F$63,3,FALSE),0)</f>
        <v>0</v>
      </c>
      <c r="K8" s="12">
        <f>IF(J8=0,250000,0)</f>
        <v>250000</v>
      </c>
      <c r="L8" s="12">
        <f>IFERROR(VLOOKUP(A8,Prior_Month_Payroll!$A$4:$I$63,7,FALSE),0)</f>
        <v>0</v>
      </c>
      <c r="M8" s="12">
        <f>SUM(E8:F8,I8,K8)</f>
        <v>6330000</v>
      </c>
      <c r="N8" s="12">
        <f>M8-L8</f>
        <v>6330000</v>
      </c>
      <c r="O8" s="12">
        <f>IFERROR(VLOOKUP(A8,Prior_Month_Payroll!$A$4:$I$63,9,FALSE),0)</f>
        <v>6285000</v>
      </c>
      <c r="P8" s="12">
        <f>N8-O8</f>
        <v>45000</v>
      </c>
      <c r="Q8" s="13">
        <f>IFERROR(P8/O8,0)</f>
        <v>7.1599045346062056E-3</v>
      </c>
      <c r="R8" s="11" t="str">
        <f>IF(D8&lt;&gt;"active","check status",IF(G8&gt;40,"Check OT",IF(ABS(Q8)&gt;15%,"check variance","OK")))</f>
        <v>OK</v>
      </c>
    </row>
    <row r="9" spans="1:18" s="11" customFormat="1">
      <c r="A9" s="11" t="s">
        <v>33</v>
      </c>
      <c r="B9" s="11" t="str">
        <f>IFERROR(VLOOKUP(A9,Employee_Master!$A$4:$I$63,2,FALSE),0)</f>
        <v>Employee 007</v>
      </c>
      <c r="C9" s="11" t="str">
        <f>IFERROR(VLOOKUP(A9,Employee_Master!$A$4:$I$63,3,FALSE),0)</f>
        <v>Production</v>
      </c>
      <c r="D9" s="11" t="str">
        <f>IFERROR(VLOOKUP(A9,Employee_Master!$A$4:$I$63,4,FALSE),0)</f>
        <v>Active</v>
      </c>
      <c r="E9" s="12">
        <f>IFERROR(VLOOKUP(A9,Employee_Master!$A$4:$I$63,7,FALSE),0)</f>
        <v>6650000</v>
      </c>
      <c r="F9" s="12">
        <f>IFERROR(VLOOKUP(A9,Employee_Master!$A$4:$I$63,8,FALSE),0)</f>
        <v>950000</v>
      </c>
      <c r="G9" s="11">
        <f>IFERROR(VLOOKUP(A9,Attendance_Current!$A$4:$F$63,5,FALSE),0)</f>
        <v>9</v>
      </c>
      <c r="H9" s="12">
        <f>IFERROR(VLOOKUP(A9,Employee_Master!$A$4:$I$63,9,FALSE),0)</f>
        <v>55000</v>
      </c>
      <c r="I9" s="12">
        <f>H9*G9</f>
        <v>495000</v>
      </c>
      <c r="J9" s="11">
        <f>IFERROR(VLOOKUP(A9,Attendance_Current!$A$4:$F$63,3,FALSE),0)</f>
        <v>1</v>
      </c>
      <c r="K9" s="12">
        <f>IF(J9=0,250000,0)</f>
        <v>0</v>
      </c>
      <c r="L9" s="12">
        <f>IFERROR(VLOOKUP(A9,Prior_Month_Payroll!$A$4:$I$63,7,FALSE),0)</f>
        <v>175000</v>
      </c>
      <c r="M9" s="12">
        <f>SUM(E9:F9,I9,K9)</f>
        <v>8095000</v>
      </c>
      <c r="N9" s="12">
        <f>M9-L9</f>
        <v>7920000</v>
      </c>
      <c r="O9" s="12">
        <f>IFERROR(VLOOKUP(A9,Prior_Month_Payroll!$A$4:$I$63,9,FALSE),0)</f>
        <v>7810000</v>
      </c>
      <c r="P9" s="12">
        <f>N9-O9</f>
        <v>110000</v>
      </c>
      <c r="Q9" s="13">
        <f>IFERROR(P9/O9,0)</f>
        <v>1.4084507042253521E-2</v>
      </c>
      <c r="R9" s="11" t="str">
        <f>IF(D9&lt;&gt;"active","check status",IF(G9&gt;40,"Check OT",IF(ABS(Q9)&gt;15%,"check variance","OK")))</f>
        <v>OK</v>
      </c>
    </row>
    <row r="10" spans="1:18" s="11" customFormat="1">
      <c r="A10" s="11" t="s">
        <v>35</v>
      </c>
      <c r="B10" s="11" t="str">
        <f>IFERROR(VLOOKUP(A10,Employee_Master!$A$4:$I$63,2,FALSE),0)</f>
        <v>Employee 008</v>
      </c>
      <c r="C10" s="11" t="str">
        <f>IFERROR(VLOOKUP(A10,Employee_Master!$A$4:$I$63,3,FALSE),0)</f>
        <v>Quality Control</v>
      </c>
      <c r="D10" s="11" t="str">
        <f>IFERROR(VLOOKUP(A10,Employee_Master!$A$4:$I$63,4,FALSE),0)</f>
        <v>Active</v>
      </c>
      <c r="E10" s="12">
        <f>IFERROR(VLOOKUP(A10,Employee_Master!$A$4:$I$63,7,FALSE),0)</f>
        <v>8300000</v>
      </c>
      <c r="F10" s="12">
        <f>IFERROR(VLOOKUP(A10,Employee_Master!$A$4:$I$63,8,FALSE),0)</f>
        <v>1200000</v>
      </c>
      <c r="G10" s="11">
        <f>IFERROR(VLOOKUP(A10,Attendance_Current!$A$4:$F$63,5,FALSE),0)</f>
        <v>58</v>
      </c>
      <c r="H10" s="12">
        <f>IFERROR(VLOOKUP(A10,Employee_Master!$A$4:$I$63,9,FALSE),0)</f>
        <v>70000</v>
      </c>
      <c r="I10" s="12">
        <f>H10*G10</f>
        <v>4060000</v>
      </c>
      <c r="J10" s="11">
        <f>IFERROR(VLOOKUP(A10,Attendance_Current!$A$4:$F$63,3,FALSE),0)</f>
        <v>0</v>
      </c>
      <c r="K10" s="12">
        <f>IF(J10=0,250000,0)</f>
        <v>250000</v>
      </c>
      <c r="L10" s="12">
        <f>IFERROR(VLOOKUP(A10,Prior_Month_Payroll!$A$4:$I$63,7,FALSE),0)</f>
        <v>0</v>
      </c>
      <c r="M10" s="12">
        <f>SUM(E10:F10,I10,K10)</f>
        <v>13810000</v>
      </c>
      <c r="N10" s="12">
        <f>M10-L10</f>
        <v>13810000</v>
      </c>
      <c r="O10" s="12">
        <f>IFERROR(VLOOKUP(A10,Prior_Month_Payroll!$A$4:$I$63,9,FALSE),0)</f>
        <v>13600000</v>
      </c>
      <c r="P10" s="12">
        <f>N10-O10</f>
        <v>210000</v>
      </c>
      <c r="Q10" s="13">
        <f>IFERROR(P10/O10,0)</f>
        <v>1.5441176470588236E-2</v>
      </c>
      <c r="R10" s="11" t="str">
        <f>IF(D10&lt;&gt;"active","check status",IF(G10&gt;40,"Check OT",IF(ABS(Q10)&gt;15%,"check variance","OK")))</f>
        <v>Check OT</v>
      </c>
    </row>
    <row r="11" spans="1:18" s="11" customFormat="1">
      <c r="A11" s="11" t="s">
        <v>37</v>
      </c>
      <c r="B11" s="11" t="str">
        <f>IFERROR(VLOOKUP(A11,Employee_Master!$A$4:$I$63,2,FALSE),0)</f>
        <v>Employee 009</v>
      </c>
      <c r="C11" s="11" t="str">
        <f>IFERROR(VLOOKUP(A11,Employee_Master!$A$4:$I$63,3,FALSE),0)</f>
        <v>Warehouse</v>
      </c>
      <c r="D11" s="11" t="str">
        <f>IFERROR(VLOOKUP(A11,Employee_Master!$A$4:$I$63,4,FALSE),0)</f>
        <v>Active</v>
      </c>
      <c r="E11" s="12">
        <f>IFERROR(VLOOKUP(A11,Employee_Master!$A$4:$I$63,7,FALSE),0)</f>
        <v>4200000</v>
      </c>
      <c r="F11" s="12">
        <f>IFERROR(VLOOKUP(A11,Employee_Master!$A$4:$I$63,8,FALSE),0)</f>
        <v>500000</v>
      </c>
      <c r="G11" s="11">
        <f>IFERROR(VLOOKUP(A11,Attendance_Current!$A$4:$F$63,5,FALSE),0)</f>
        <v>19</v>
      </c>
      <c r="H11" s="12">
        <f>IFERROR(VLOOKUP(A11,Employee_Master!$A$4:$I$63,9,FALSE),0)</f>
        <v>35000</v>
      </c>
      <c r="I11" s="12">
        <f>H11*G11</f>
        <v>665000</v>
      </c>
      <c r="J11" s="11">
        <f>IFERROR(VLOOKUP(A11,Attendance_Current!$A$4:$F$63,3,FALSE),0)</f>
        <v>0</v>
      </c>
      <c r="K11" s="12">
        <f>IF(J11=0,250000,0)</f>
        <v>250000</v>
      </c>
      <c r="L11" s="12">
        <f>IFERROR(VLOOKUP(A11,Prior_Month_Payroll!$A$4:$I$63,7,FALSE),0)</f>
        <v>75000</v>
      </c>
      <c r="M11" s="12">
        <f>SUM(E11:F11,I11,K11)</f>
        <v>5615000</v>
      </c>
      <c r="N11" s="12">
        <f>M11-L11</f>
        <v>5540000</v>
      </c>
      <c r="O11" s="12">
        <f>IFERROR(VLOOKUP(A11,Prior_Month_Payroll!$A$4:$I$63,9,FALSE),0)</f>
        <v>5540000</v>
      </c>
      <c r="P11" s="12">
        <f>N11-O11</f>
        <v>0</v>
      </c>
      <c r="Q11" s="13">
        <f>IFERROR(P11/O11,0)</f>
        <v>0</v>
      </c>
      <c r="R11" s="11" t="str">
        <f>IF(D11&lt;&gt;"active","check status",IF(G11&gt;40,"Check OT",IF(ABS(Q11)&gt;15%,"check variance","OK")))</f>
        <v>OK</v>
      </c>
    </row>
    <row r="12" spans="1:18" s="11" customFormat="1">
      <c r="A12" s="11" t="s">
        <v>39</v>
      </c>
      <c r="B12" s="11" t="str">
        <f>IFERROR(VLOOKUP(A12,Employee_Master!$A$4:$I$63,2,FALSE),0)</f>
        <v>Employee 010</v>
      </c>
      <c r="C12" s="11" t="str">
        <f>IFERROR(VLOOKUP(A12,Employee_Master!$A$4:$I$63,3,FALSE),0)</f>
        <v>Engineering</v>
      </c>
      <c r="D12" s="11" t="str">
        <f>IFERROR(VLOOKUP(A12,Employee_Master!$A$4:$I$63,4,FALSE),0)</f>
        <v>Active</v>
      </c>
      <c r="E12" s="12">
        <f>IFERROR(VLOOKUP(A12,Employee_Master!$A$4:$I$63,7,FALSE),0)</f>
        <v>5350000</v>
      </c>
      <c r="F12" s="12">
        <f>IFERROR(VLOOKUP(A12,Employee_Master!$A$4:$I$63,8,FALSE),0)</f>
        <v>700000</v>
      </c>
      <c r="G12" s="11">
        <f>IFERROR(VLOOKUP(A12,Attendance_Current!$A$4:$F$63,5,FALSE),0)</f>
        <v>24</v>
      </c>
      <c r="H12" s="12">
        <f>IFERROR(VLOOKUP(A12,Employee_Master!$A$4:$I$63,9,FALSE),0)</f>
        <v>45000</v>
      </c>
      <c r="I12" s="12">
        <f>H12*G12</f>
        <v>1080000</v>
      </c>
      <c r="J12" s="11">
        <f>IFERROR(VLOOKUP(A12,Attendance_Current!$A$4:$F$63,3,FALSE),0)</f>
        <v>0</v>
      </c>
      <c r="K12" s="12">
        <f>IF(J12=0,250000,0)</f>
        <v>250000</v>
      </c>
      <c r="L12" s="12">
        <f>IFERROR(VLOOKUP(A12,Prior_Month_Payroll!$A$4:$I$63,7,FALSE),0)</f>
        <v>0</v>
      </c>
      <c r="M12" s="12">
        <f>SUM(E12:F12,I12,K12)</f>
        <v>7380000</v>
      </c>
      <c r="N12" s="12">
        <f>M12-L12</f>
        <v>7380000</v>
      </c>
      <c r="O12" s="12">
        <f>IFERROR(VLOOKUP(A12,Prior_Month_Payroll!$A$4:$I$63,9,FALSE),0)</f>
        <v>7335000</v>
      </c>
      <c r="P12" s="12">
        <f>N12-O12</f>
        <v>45000</v>
      </c>
      <c r="Q12" s="13">
        <f>IFERROR(P12/O12,0)</f>
        <v>6.1349693251533744E-3</v>
      </c>
      <c r="R12" s="11" t="str">
        <f>IF(D12&lt;&gt;"active","check status",IF(G12&gt;40,"Check OT",IF(ABS(Q12)&gt;15%,"check variance","OK")))</f>
        <v>OK</v>
      </c>
    </row>
    <row r="13" spans="1:18" s="11" customFormat="1">
      <c r="A13" s="11" t="s">
        <v>41</v>
      </c>
      <c r="B13" s="11" t="str">
        <f>IFERROR(VLOOKUP(A13,Employee_Master!$A$4:$I$63,2,FALSE),0)</f>
        <v>Employee 011</v>
      </c>
      <c r="C13" s="11" t="str">
        <f>IFERROR(VLOOKUP(A13,Employee_Master!$A$4:$I$63,3,FALSE),0)</f>
        <v>Finance</v>
      </c>
      <c r="D13" s="11" t="str">
        <f>IFERROR(VLOOKUP(A13,Employee_Master!$A$4:$I$63,4,FALSE),0)</f>
        <v>Active</v>
      </c>
      <c r="E13" s="12">
        <f>IFERROR(VLOOKUP(A13,Employee_Master!$A$4:$I$63,7,FALSE),0)</f>
        <v>6800000</v>
      </c>
      <c r="F13" s="12">
        <f>IFERROR(VLOOKUP(A13,Employee_Master!$A$4:$I$63,8,FALSE),0)</f>
        <v>950000</v>
      </c>
      <c r="G13" s="11">
        <f>IFERROR(VLOOKUP(A13,Attendance_Current!$A$4:$F$63,5,FALSE),0)</f>
        <v>3</v>
      </c>
      <c r="H13" s="12">
        <f>IFERROR(VLOOKUP(A13,Employee_Master!$A$4:$I$63,9,FALSE),0)</f>
        <v>55000</v>
      </c>
      <c r="I13" s="12">
        <f>H13*G13</f>
        <v>165000</v>
      </c>
      <c r="J13" s="11">
        <f>IFERROR(VLOOKUP(A13,Attendance_Current!$A$4:$F$63,3,FALSE),0)</f>
        <v>0</v>
      </c>
      <c r="K13" s="12">
        <f>IF(J13=0,250000,0)</f>
        <v>250000</v>
      </c>
      <c r="L13" s="12">
        <f>IFERROR(VLOOKUP(A13,Prior_Month_Payroll!$A$4:$I$63,7,FALSE),0)</f>
        <v>75000</v>
      </c>
      <c r="M13" s="12">
        <f>SUM(E13:F13,I13,K13)</f>
        <v>8165000</v>
      </c>
      <c r="N13" s="12">
        <f>M13-L13</f>
        <v>8090000</v>
      </c>
      <c r="O13" s="12">
        <f>IFERROR(VLOOKUP(A13,Prior_Month_Payroll!$A$4:$I$63,9,FALSE),0)</f>
        <v>7980000</v>
      </c>
      <c r="P13" s="12">
        <f>N13-O13</f>
        <v>110000</v>
      </c>
      <c r="Q13" s="13">
        <f>IFERROR(P13/O13,0)</f>
        <v>1.3784461152882205E-2</v>
      </c>
      <c r="R13" s="11" t="str">
        <f>IF(D13&lt;&gt;"active","check status",IF(G13&gt;40,"Check OT",IF(ABS(Q13)&gt;15%,"check variance","OK")))</f>
        <v>OK</v>
      </c>
    </row>
    <row r="14" spans="1:18" s="11" customFormat="1">
      <c r="A14" s="11" t="s">
        <v>43</v>
      </c>
      <c r="B14" s="11" t="str">
        <f>IFERROR(VLOOKUP(A14,Employee_Master!$A$4:$I$63,2,FALSE),0)</f>
        <v>Employee 012</v>
      </c>
      <c r="C14" s="11" t="str">
        <f>IFERROR(VLOOKUP(A14,Employee_Master!$A$4:$I$63,3,FALSE),0)</f>
        <v>HR</v>
      </c>
      <c r="D14" s="11" t="str">
        <f>IFERROR(VLOOKUP(A14,Employee_Master!$A$4:$I$63,4,FALSE),0)</f>
        <v>Resigned</v>
      </c>
      <c r="E14" s="12">
        <f>IFERROR(VLOOKUP(A14,Employee_Master!$A$4:$I$63,7,FALSE),0)</f>
        <v>8000000</v>
      </c>
      <c r="F14" s="12">
        <f>IFERROR(VLOOKUP(A14,Employee_Master!$A$4:$I$63,8,FALSE),0)</f>
        <v>1200000</v>
      </c>
      <c r="G14" s="11">
        <f>IFERROR(VLOOKUP(A14,Attendance_Current!$A$4:$F$63,5,FALSE),0)</f>
        <v>8</v>
      </c>
      <c r="H14" s="12">
        <f>IFERROR(VLOOKUP(A14,Employee_Master!$A$4:$I$63,9,FALSE),0)</f>
        <v>70000</v>
      </c>
      <c r="I14" s="12">
        <f>H14*G14</f>
        <v>560000</v>
      </c>
      <c r="J14" s="11">
        <f>IFERROR(VLOOKUP(A14,Attendance_Current!$A$4:$F$63,3,FALSE),0)</f>
        <v>0</v>
      </c>
      <c r="K14" s="12">
        <f>IF(J14=0,250000,0)</f>
        <v>250000</v>
      </c>
      <c r="L14" s="12">
        <f>IFERROR(VLOOKUP(A14,Prior_Month_Payroll!$A$4:$I$63,7,FALSE),0)</f>
        <v>0</v>
      </c>
      <c r="M14" s="12">
        <f>SUM(E14:F14,I14,K14)</f>
        <v>10010000</v>
      </c>
      <c r="N14" s="12">
        <f>M14-L14</f>
        <v>10010000</v>
      </c>
      <c r="O14" s="12">
        <f>IFERROR(VLOOKUP(A14,Prior_Month_Payroll!$A$4:$I$63,9,FALSE),0)</f>
        <v>9800000</v>
      </c>
      <c r="P14" s="12">
        <f>N14-O14</f>
        <v>210000</v>
      </c>
      <c r="Q14" s="13">
        <f>IFERROR(P14/O14,0)</f>
        <v>2.1428571428571429E-2</v>
      </c>
      <c r="R14" s="11" t="str">
        <f>IF(D14&lt;&gt;"active","check status",IF(G14&gt;40,"Check OT",IF(ABS(Q14)&gt;15%,"check variance","OK")))</f>
        <v>check status</v>
      </c>
    </row>
    <row r="15" spans="1:18" s="11" customFormat="1">
      <c r="A15" s="11" t="s">
        <v>46</v>
      </c>
      <c r="B15" s="11" t="str">
        <f>IFERROR(VLOOKUP(A15,Employee_Master!$A$4:$I$63,2,FALSE),0)</f>
        <v>Employee 013</v>
      </c>
      <c r="C15" s="11" t="str">
        <f>IFERROR(VLOOKUP(A15,Employee_Master!$A$4:$I$63,3,FALSE),0)</f>
        <v>Production</v>
      </c>
      <c r="D15" s="11" t="str">
        <f>IFERROR(VLOOKUP(A15,Employee_Master!$A$4:$I$63,4,FALSE),0)</f>
        <v>Active</v>
      </c>
      <c r="E15" s="12">
        <f>IFERROR(VLOOKUP(A15,Employee_Master!$A$4:$I$63,7,FALSE),0)</f>
        <v>4350000</v>
      </c>
      <c r="F15" s="12">
        <f>IFERROR(VLOOKUP(A15,Employee_Master!$A$4:$I$63,8,FALSE),0)</f>
        <v>500000</v>
      </c>
      <c r="G15" s="11">
        <f>IFERROR(VLOOKUP(A15,Attendance_Current!$A$4:$F$63,5,FALSE),0)</f>
        <v>13</v>
      </c>
      <c r="H15" s="12">
        <f>IFERROR(VLOOKUP(A15,Employee_Master!$A$4:$I$63,9,FALSE),0)</f>
        <v>35000</v>
      </c>
      <c r="I15" s="12">
        <f>H15*G15</f>
        <v>455000</v>
      </c>
      <c r="J15" s="11">
        <f>IFERROR(VLOOKUP(A15,Attendance_Current!$A$4:$F$63,3,FALSE),0)</f>
        <v>0</v>
      </c>
      <c r="K15" s="12">
        <f>IF(J15=0,250000,0)</f>
        <v>250000</v>
      </c>
      <c r="L15" s="12">
        <f>IFERROR(VLOOKUP(A15,Prior_Month_Payroll!$A$4:$I$63,7,FALSE),0)</f>
        <v>75000</v>
      </c>
      <c r="M15" s="12">
        <f>SUM(E15:F15,I15,K15)</f>
        <v>5555000</v>
      </c>
      <c r="N15" s="12">
        <f>M15-L15</f>
        <v>5480000</v>
      </c>
      <c r="O15" s="12">
        <f>IFERROR(VLOOKUP(A15,Prior_Month_Payroll!$A$4:$I$63,9,FALSE),0)</f>
        <v>5480000</v>
      </c>
      <c r="P15" s="12">
        <f>N15-O15</f>
        <v>0</v>
      </c>
      <c r="Q15" s="13">
        <f>IFERROR(P15/O15,0)</f>
        <v>0</v>
      </c>
      <c r="R15" s="11" t="str">
        <f>IF(D15&lt;&gt;"active","check status",IF(G15&gt;40,"Check OT",IF(ABS(Q15)&gt;15%,"check variance","OK")))</f>
        <v>OK</v>
      </c>
    </row>
    <row r="16" spans="1:18" s="11" customFormat="1">
      <c r="A16" s="11" t="s">
        <v>48</v>
      </c>
      <c r="B16" s="11" t="str">
        <f>IFERROR(VLOOKUP(A16,Employee_Master!$A$4:$I$63,2,FALSE),0)</f>
        <v>Employee 014</v>
      </c>
      <c r="C16" s="11" t="str">
        <f>IFERROR(VLOOKUP(A16,Employee_Master!$A$4:$I$63,3,FALSE),0)</f>
        <v>Quality Control</v>
      </c>
      <c r="D16" s="11" t="str">
        <f>IFERROR(VLOOKUP(A16,Employee_Master!$A$4:$I$63,4,FALSE),0)</f>
        <v>Active</v>
      </c>
      <c r="E16" s="12">
        <f>IFERROR(VLOOKUP(A16,Employee_Master!$A$4:$I$63,7,FALSE),0)</f>
        <v>5500000</v>
      </c>
      <c r="F16" s="12">
        <f>IFERROR(VLOOKUP(A16,Employee_Master!$A$4:$I$63,8,FALSE),0)</f>
        <v>700000</v>
      </c>
      <c r="G16" s="11">
        <f>IFERROR(VLOOKUP(A16,Attendance_Current!$A$4:$F$63,5,FALSE),0)</f>
        <v>18</v>
      </c>
      <c r="H16" s="12">
        <f>IFERROR(VLOOKUP(A16,Employee_Master!$A$4:$I$63,9,FALSE),0)</f>
        <v>45000</v>
      </c>
      <c r="I16" s="12">
        <f>H16*G16</f>
        <v>810000</v>
      </c>
      <c r="J16" s="11">
        <f>IFERROR(VLOOKUP(A16,Attendance_Current!$A$4:$F$63,3,FALSE),0)</f>
        <v>1</v>
      </c>
      <c r="K16" s="12">
        <f>IF(J16=0,250000,0)</f>
        <v>0</v>
      </c>
      <c r="L16" s="12">
        <f>IFERROR(VLOOKUP(A16,Prior_Month_Payroll!$A$4:$I$63,7,FALSE),0)</f>
        <v>100000</v>
      </c>
      <c r="M16" s="12">
        <f>SUM(E16:F16,I16,K16)</f>
        <v>7010000</v>
      </c>
      <c r="N16" s="12">
        <f>M16-L16</f>
        <v>6910000</v>
      </c>
      <c r="O16" s="12">
        <f>IFERROR(VLOOKUP(A16,Prior_Month_Payroll!$A$4:$I$63,9,FALSE),0)</f>
        <v>6865000</v>
      </c>
      <c r="P16" s="12">
        <f>N16-O16</f>
        <v>45000</v>
      </c>
      <c r="Q16" s="13">
        <f>IFERROR(P16/O16,0)</f>
        <v>6.5549890750182084E-3</v>
      </c>
      <c r="R16" s="11" t="str">
        <f>IF(D16&lt;&gt;"active","check status",IF(G16&gt;40,"Check OT",IF(ABS(Q16)&gt;15%,"check variance","OK")))</f>
        <v>OK</v>
      </c>
    </row>
    <row r="17" spans="1:18" s="11" customFormat="1">
      <c r="A17" s="11" t="s">
        <v>50</v>
      </c>
      <c r="B17" s="11" t="str">
        <f>IFERROR(VLOOKUP(A17,Employee_Master!$A$4:$I$63,2,FALSE),0)</f>
        <v>Employee 015</v>
      </c>
      <c r="C17" s="11" t="str">
        <f>IFERROR(VLOOKUP(A17,Employee_Master!$A$4:$I$63,3,FALSE),0)</f>
        <v>Warehouse</v>
      </c>
      <c r="D17" s="11" t="str">
        <f>IFERROR(VLOOKUP(A17,Employee_Master!$A$4:$I$63,4,FALSE),0)</f>
        <v>Active</v>
      </c>
      <c r="E17" s="12">
        <f>IFERROR(VLOOKUP(A17,Employee_Master!$A$4:$I$63,7,FALSE),0)</f>
        <v>6500000</v>
      </c>
      <c r="F17" s="12">
        <f>IFERROR(VLOOKUP(A17,Employee_Master!$A$4:$I$63,8,FALSE),0)</f>
        <v>950000</v>
      </c>
      <c r="G17" s="11">
        <f>IFERROR(VLOOKUP(A17,Attendance_Current!$A$4:$F$63,5,FALSE),0)</f>
        <v>23</v>
      </c>
      <c r="H17" s="12">
        <f>IFERROR(VLOOKUP(A17,Employee_Master!$A$4:$I$63,9,FALSE),0)</f>
        <v>55000</v>
      </c>
      <c r="I17" s="12">
        <f>H17*G17</f>
        <v>1265000</v>
      </c>
      <c r="J17" s="11">
        <f>IFERROR(VLOOKUP(A17,Attendance_Current!$A$4:$F$63,3,FALSE),0)</f>
        <v>0</v>
      </c>
      <c r="K17" s="12">
        <f>IF(J17=0,250000,0)</f>
        <v>250000</v>
      </c>
      <c r="L17" s="12">
        <f>IFERROR(VLOOKUP(A17,Prior_Month_Payroll!$A$4:$I$63,7,FALSE),0)</f>
        <v>75000</v>
      </c>
      <c r="M17" s="12">
        <f>SUM(E17:F17,I17,K17)</f>
        <v>8965000</v>
      </c>
      <c r="N17" s="12">
        <f>M17-L17</f>
        <v>8890000</v>
      </c>
      <c r="O17" s="12">
        <f>IFERROR(VLOOKUP(A17,Prior_Month_Payroll!$A$4:$I$63,9,FALSE),0)</f>
        <v>8780000</v>
      </c>
      <c r="P17" s="12">
        <f>N17-O17</f>
        <v>110000</v>
      </c>
      <c r="Q17" s="13">
        <f>IFERROR(P17/O17,0)</f>
        <v>1.2528473804100227E-2</v>
      </c>
      <c r="R17" s="11" t="str">
        <f>IF(D17&lt;&gt;"active","check status",IF(G17&gt;40,"Check OT",IF(ABS(Q17)&gt;15%,"check variance","OK")))</f>
        <v>OK</v>
      </c>
    </row>
    <row r="18" spans="1:18" s="11" customFormat="1">
      <c r="A18" s="11" t="s">
        <v>52</v>
      </c>
      <c r="B18" s="11" t="str">
        <f>IFERROR(VLOOKUP(A18,Employee_Master!$A$4:$I$63,2,FALSE),0)</f>
        <v>Employee 016</v>
      </c>
      <c r="C18" s="11" t="str">
        <f>IFERROR(VLOOKUP(A18,Employee_Master!$A$4:$I$63,3,FALSE),0)</f>
        <v>Engineering</v>
      </c>
      <c r="D18" s="11" t="str">
        <f>IFERROR(VLOOKUP(A18,Employee_Master!$A$4:$I$63,4,FALSE),0)</f>
        <v>Active</v>
      </c>
      <c r="E18" s="12">
        <f>IFERROR(VLOOKUP(A18,Employee_Master!$A$4:$I$63,7,FALSE),0)</f>
        <v>8150000</v>
      </c>
      <c r="F18" s="12">
        <f>IFERROR(VLOOKUP(A18,Employee_Master!$A$4:$I$63,8,FALSE),0)</f>
        <v>1200000</v>
      </c>
      <c r="G18" s="11">
        <f>IFERROR(VLOOKUP(A18,Attendance_Current!$A$4:$F$63,5,FALSE),0)</f>
        <v>2</v>
      </c>
      <c r="H18" s="12">
        <f>IFERROR(VLOOKUP(A18,Employee_Master!$A$4:$I$63,9,FALSE),0)</f>
        <v>70000</v>
      </c>
      <c r="I18" s="12">
        <f>H18*G18</f>
        <v>140000</v>
      </c>
      <c r="J18" s="11">
        <f>IFERROR(VLOOKUP(A18,Attendance_Current!$A$4:$F$63,3,FALSE),0)</f>
        <v>0</v>
      </c>
      <c r="K18" s="12">
        <f>IF(J18=0,250000,0)</f>
        <v>250000</v>
      </c>
      <c r="L18" s="12">
        <f>IFERROR(VLOOKUP(A18,Prior_Month_Payroll!$A$4:$I$63,7,FALSE),0)</f>
        <v>0</v>
      </c>
      <c r="M18" s="12">
        <f>SUM(E18:F18,I18,K18)</f>
        <v>9740000</v>
      </c>
      <c r="N18" s="12">
        <f>M18-L18</f>
        <v>9740000</v>
      </c>
      <c r="O18" s="12">
        <f>IFERROR(VLOOKUP(A18,Prior_Month_Payroll!$A$4:$I$63,9,FALSE),0)</f>
        <v>9600000</v>
      </c>
      <c r="P18" s="12">
        <f>N18-O18</f>
        <v>140000</v>
      </c>
      <c r="Q18" s="13">
        <f>IFERROR(P18/O18,0)</f>
        <v>1.4583333333333334E-2</v>
      </c>
      <c r="R18" s="11" t="str">
        <f>IF(D18&lt;&gt;"active","check status",IF(G18&gt;40,"Check OT",IF(ABS(Q18)&gt;15%,"check variance","OK")))</f>
        <v>OK</v>
      </c>
    </row>
    <row r="19" spans="1:18" s="11" customFormat="1">
      <c r="A19" s="11" t="s">
        <v>54</v>
      </c>
      <c r="B19" s="11" t="str">
        <f>IFERROR(VLOOKUP(A19,Employee_Master!$A$4:$I$63,2,FALSE),0)</f>
        <v>Employee 017</v>
      </c>
      <c r="C19" s="11" t="str">
        <f>IFERROR(VLOOKUP(A19,Employee_Master!$A$4:$I$63,3,FALSE),0)</f>
        <v>Finance</v>
      </c>
      <c r="D19" s="11" t="str">
        <f>IFERROR(VLOOKUP(A19,Employee_Master!$A$4:$I$63,4,FALSE),0)</f>
        <v>Active</v>
      </c>
      <c r="E19" s="12">
        <f>IFERROR(VLOOKUP(A19,Employee_Master!$A$4:$I$63,7,FALSE),0)</f>
        <v>4500000</v>
      </c>
      <c r="F19" s="12">
        <f>IFERROR(VLOOKUP(A19,Employee_Master!$A$4:$I$63,8,FALSE),0)</f>
        <v>500000</v>
      </c>
      <c r="G19" s="11">
        <f>IFERROR(VLOOKUP(A19,Attendance_Current!$A$4:$F$63,5,FALSE),0)</f>
        <v>7</v>
      </c>
      <c r="H19" s="12">
        <f>IFERROR(VLOOKUP(A19,Employee_Master!$A$4:$I$63,9,FALSE),0)</f>
        <v>35000</v>
      </c>
      <c r="I19" s="12">
        <f>H19*G19</f>
        <v>245000</v>
      </c>
      <c r="J19" s="11">
        <f>IFERROR(VLOOKUP(A19,Attendance_Current!$A$4:$F$63,3,FALSE),0)</f>
        <v>0</v>
      </c>
      <c r="K19" s="12">
        <f>IF(J19=0,250000,0)</f>
        <v>250000</v>
      </c>
      <c r="L19" s="12">
        <f>IFERROR(VLOOKUP(A19,Prior_Month_Payroll!$A$4:$I$63,7,FALSE),0)</f>
        <v>75000</v>
      </c>
      <c r="M19" s="12">
        <f>SUM(E19:F19,I19,K19)</f>
        <v>5495000</v>
      </c>
      <c r="N19" s="12">
        <f>M19-L19</f>
        <v>5420000</v>
      </c>
      <c r="O19" s="12">
        <f>IFERROR(VLOOKUP(A19,Prior_Month_Payroll!$A$4:$I$63,9,FALSE),0)</f>
        <v>5420000</v>
      </c>
      <c r="P19" s="12">
        <f>N19-O19</f>
        <v>0</v>
      </c>
      <c r="Q19" s="13">
        <f>IFERROR(P19/O19,0)</f>
        <v>0</v>
      </c>
      <c r="R19" s="11" t="str">
        <f>IF(D19&lt;&gt;"active","check status",IF(G19&gt;40,"Check OT",IF(ABS(Q19)&gt;15%,"check variance","OK")))</f>
        <v>OK</v>
      </c>
    </row>
    <row r="20" spans="1:18" s="11" customFormat="1">
      <c r="A20" s="11" t="s">
        <v>56</v>
      </c>
      <c r="B20" s="11" t="str">
        <f>IFERROR(VLOOKUP(A20,Employee_Master!$A$4:$I$63,2,FALSE),0)</f>
        <v>Employee 018</v>
      </c>
      <c r="C20" s="11" t="str">
        <f>IFERROR(VLOOKUP(A20,Employee_Master!$A$4:$I$63,3,FALSE),0)</f>
        <v>HR</v>
      </c>
      <c r="D20" s="11" t="str">
        <f>IFERROR(VLOOKUP(A20,Employee_Master!$A$4:$I$63,4,FALSE),0)</f>
        <v>Active</v>
      </c>
      <c r="E20" s="12">
        <f>IFERROR(VLOOKUP(A20,Employee_Master!$A$4:$I$63,7,FALSE),0)</f>
        <v>5200000</v>
      </c>
      <c r="F20" s="12">
        <f>IFERROR(VLOOKUP(A20,Employee_Master!$A$4:$I$63,8,FALSE),0)</f>
        <v>700000</v>
      </c>
      <c r="G20" s="11">
        <f>IFERROR(VLOOKUP(A20,Attendance_Current!$A$4:$F$63,5,FALSE),0)</f>
        <v>12</v>
      </c>
      <c r="H20" s="12">
        <f>IFERROR(VLOOKUP(A20,Employee_Master!$A$4:$I$63,9,FALSE),0)</f>
        <v>45000</v>
      </c>
      <c r="I20" s="12">
        <f>H20*G20</f>
        <v>540000</v>
      </c>
      <c r="J20" s="11">
        <f>IFERROR(VLOOKUP(A20,Attendance_Current!$A$4:$F$63,3,FALSE),0)</f>
        <v>0</v>
      </c>
      <c r="K20" s="12">
        <f>IF(J20=0,250000,0)</f>
        <v>250000</v>
      </c>
      <c r="L20" s="12">
        <f>IFERROR(VLOOKUP(A20,Prior_Month_Payroll!$A$4:$I$63,7,FALSE),0)</f>
        <v>0</v>
      </c>
      <c r="M20" s="12">
        <f>SUM(E20:F20,I20,K20)</f>
        <v>6690000</v>
      </c>
      <c r="N20" s="12">
        <f>M20-L20</f>
        <v>6690000</v>
      </c>
      <c r="O20" s="12">
        <f>IFERROR(VLOOKUP(A20,Prior_Month_Payroll!$A$4:$I$63,9,FALSE),0)</f>
        <v>6645000</v>
      </c>
      <c r="P20" s="12">
        <f>N20-O20</f>
        <v>45000</v>
      </c>
      <c r="Q20" s="13">
        <f>IFERROR(P20/O20,0)</f>
        <v>6.7720090293453723E-3</v>
      </c>
      <c r="R20" s="11" t="str">
        <f>IF(D20&lt;&gt;"active","check status",IF(G20&gt;40,"Check OT",IF(ABS(Q20)&gt;15%,"check variance","OK")))</f>
        <v>OK</v>
      </c>
    </row>
    <row r="21" spans="1:18" s="11" customFormat="1">
      <c r="A21" s="11" t="s">
        <v>58</v>
      </c>
      <c r="B21" s="11" t="str">
        <f>IFERROR(VLOOKUP(A21,Employee_Master!$A$4:$I$63,2,FALSE),0)</f>
        <v>Employee 019</v>
      </c>
      <c r="C21" s="11" t="str">
        <f>IFERROR(VLOOKUP(A21,Employee_Master!$A$4:$I$63,3,FALSE),0)</f>
        <v>Production</v>
      </c>
      <c r="D21" s="11" t="str">
        <f>IFERROR(VLOOKUP(A21,Employee_Master!$A$4:$I$63,4,FALSE),0)</f>
        <v>Active</v>
      </c>
      <c r="E21" s="12">
        <f>IFERROR(VLOOKUP(A21,Employee_Master!$A$4:$I$63,7,FALSE),0)</f>
        <v>6650000</v>
      </c>
      <c r="F21" s="12">
        <f>IFERROR(VLOOKUP(A21,Employee_Master!$A$4:$I$63,8,FALSE),0)</f>
        <v>950000</v>
      </c>
      <c r="G21" s="11">
        <f>IFERROR(VLOOKUP(A21,Attendance_Current!$A$4:$F$63,5,FALSE),0)</f>
        <v>17</v>
      </c>
      <c r="H21" s="12">
        <f>IFERROR(VLOOKUP(A21,Employee_Master!$A$4:$I$63,9,FALSE),0)</f>
        <v>55000</v>
      </c>
      <c r="I21" s="12">
        <f>H21*G21</f>
        <v>935000</v>
      </c>
      <c r="J21" s="11">
        <f>IFERROR(VLOOKUP(A21,Attendance_Current!$A$4:$F$63,3,FALSE),0)</f>
        <v>0</v>
      </c>
      <c r="K21" s="12">
        <f>IF(J21=0,250000,0)</f>
        <v>250000</v>
      </c>
      <c r="L21" s="12">
        <f>IFERROR(VLOOKUP(A21,Prior_Month_Payroll!$A$4:$I$63,7,FALSE),0)</f>
        <v>75000</v>
      </c>
      <c r="M21" s="12">
        <f>SUM(E21:F21,I21,K21)</f>
        <v>8785000</v>
      </c>
      <c r="N21" s="12">
        <f>M21-L21</f>
        <v>8710000</v>
      </c>
      <c r="O21" s="12">
        <f>IFERROR(VLOOKUP(A21,Prior_Month_Payroll!$A$4:$I$63,9,FALSE),0)</f>
        <v>8600000</v>
      </c>
      <c r="P21" s="12">
        <f>N21-O21</f>
        <v>110000</v>
      </c>
      <c r="Q21" s="13">
        <f>IFERROR(P21/O21,0)</f>
        <v>1.2790697674418604E-2</v>
      </c>
      <c r="R21" s="11" t="str">
        <f>IF(D21&lt;&gt;"active","check status",IF(G21&gt;40,"Check OT",IF(ABS(Q21)&gt;15%,"check variance","OK")))</f>
        <v>OK</v>
      </c>
    </row>
    <row r="22" spans="1:18" s="11" customFormat="1">
      <c r="A22" s="11" t="s">
        <v>60</v>
      </c>
      <c r="B22" s="11" t="str">
        <f>IFERROR(VLOOKUP(A22,Employee_Master!$A$4:$I$63,2,FALSE),0)</f>
        <v>Employee 020</v>
      </c>
      <c r="C22" s="11" t="str">
        <f>IFERROR(VLOOKUP(A22,Employee_Master!$A$4:$I$63,3,FALSE),0)</f>
        <v>Quality Control</v>
      </c>
      <c r="D22" s="11" t="str">
        <f>IFERROR(VLOOKUP(A22,Employee_Master!$A$4:$I$63,4,FALSE),0)</f>
        <v>Active</v>
      </c>
      <c r="E22" s="12">
        <f>IFERROR(VLOOKUP(A22,Employee_Master!$A$4:$I$63,7,FALSE),0)</f>
        <v>8300000</v>
      </c>
      <c r="F22" s="12">
        <f>IFERROR(VLOOKUP(A22,Employee_Master!$A$4:$I$63,8,FALSE),0)</f>
        <v>1200000</v>
      </c>
      <c r="G22" s="11">
        <f>IFERROR(VLOOKUP(A22,Attendance_Current!$A$4:$F$63,5,FALSE),0)</f>
        <v>22</v>
      </c>
      <c r="H22" s="12">
        <f>IFERROR(VLOOKUP(A22,Employee_Master!$A$4:$I$63,9,FALSE),0)</f>
        <v>70000</v>
      </c>
      <c r="I22" s="12">
        <f>H22*G22</f>
        <v>1540000</v>
      </c>
      <c r="J22" s="11">
        <f>IFERROR(VLOOKUP(A22,Attendance_Current!$A$4:$F$63,3,FALSE),0)</f>
        <v>0</v>
      </c>
      <c r="K22" s="12">
        <f>IF(J22=0,250000,0)</f>
        <v>250000</v>
      </c>
      <c r="L22" s="12">
        <f>IFERROR(VLOOKUP(A22,Prior_Month_Payroll!$A$4:$I$63,7,FALSE),0)</f>
        <v>0</v>
      </c>
      <c r="M22" s="12">
        <f>SUM(E22:F22,I22,K22)</f>
        <v>11290000</v>
      </c>
      <c r="N22" s="12">
        <f>M22-L22</f>
        <v>11290000</v>
      </c>
      <c r="O22" s="12">
        <f>IFERROR(VLOOKUP(A22,Prior_Month_Payroll!$A$4:$I$63,9,FALSE),0)</f>
        <v>11080000</v>
      </c>
      <c r="P22" s="12">
        <f>N22-O22</f>
        <v>210000</v>
      </c>
      <c r="Q22" s="13">
        <f>IFERROR(P22/O22,0)</f>
        <v>1.895306859205776E-2</v>
      </c>
      <c r="R22" s="11" t="str">
        <f>IF(D22&lt;&gt;"active","check status",IF(G22&gt;40,"Check OT",IF(ABS(Q22)&gt;15%,"check variance","OK")))</f>
        <v>OK</v>
      </c>
    </row>
    <row r="23" spans="1:18" s="11" customFormat="1">
      <c r="A23" s="11" t="s">
        <v>62</v>
      </c>
      <c r="B23" s="11" t="str">
        <f>IFERROR(VLOOKUP(A23,Employee_Master!$A$4:$I$63,2,FALSE),0)</f>
        <v>Employee 021</v>
      </c>
      <c r="C23" s="11" t="str">
        <f>IFERROR(VLOOKUP(A23,Employee_Master!$A$4:$I$63,3,FALSE),0)</f>
        <v>Warehouse</v>
      </c>
      <c r="D23" s="11" t="str">
        <f>IFERROR(VLOOKUP(A23,Employee_Master!$A$4:$I$63,4,FALSE),0)</f>
        <v>Active</v>
      </c>
      <c r="E23" s="12">
        <f>IFERROR(VLOOKUP(A23,Employee_Master!$A$4:$I$63,7,FALSE),0)</f>
        <v>4200000</v>
      </c>
      <c r="F23" s="12">
        <f>IFERROR(VLOOKUP(A23,Employee_Master!$A$4:$I$63,8,FALSE),0)</f>
        <v>500000</v>
      </c>
      <c r="G23" s="11">
        <f>IFERROR(VLOOKUP(A23,Attendance_Current!$A$4:$F$63,5,FALSE),0)</f>
        <v>1</v>
      </c>
      <c r="H23" s="12">
        <f>IFERROR(VLOOKUP(A23,Employee_Master!$A$4:$I$63,9,FALSE),0)</f>
        <v>35000</v>
      </c>
      <c r="I23" s="12">
        <f>H23*G23</f>
        <v>35000</v>
      </c>
      <c r="J23" s="11">
        <f>IFERROR(VLOOKUP(A23,Attendance_Current!$A$4:$F$63,3,FALSE),0)</f>
        <v>1</v>
      </c>
      <c r="K23" s="12">
        <f>IF(J23=0,250000,0)</f>
        <v>0</v>
      </c>
      <c r="L23" s="12">
        <f>IFERROR(VLOOKUP(A23,Prior_Month_Payroll!$A$4:$I$63,7,FALSE),0)</f>
        <v>175000</v>
      </c>
      <c r="M23" s="12">
        <f>SUM(E23:F23,I23,K23)</f>
        <v>4735000</v>
      </c>
      <c r="N23" s="12">
        <f>M23-L23</f>
        <v>4560000</v>
      </c>
      <c r="O23" s="12">
        <f>IFERROR(VLOOKUP(A23,Prior_Month_Payroll!$A$4:$I$63,9,FALSE),0)</f>
        <v>4560000</v>
      </c>
      <c r="P23" s="12">
        <f>N23-O23</f>
        <v>0</v>
      </c>
      <c r="Q23" s="13">
        <f>IFERROR(P23/O23,0)</f>
        <v>0</v>
      </c>
      <c r="R23" s="11" t="str">
        <f>IF(D23&lt;&gt;"active","check status",IF(G23&gt;40,"Check OT",IF(ABS(Q23)&gt;15%,"check variance","OK")))</f>
        <v>OK</v>
      </c>
    </row>
    <row r="24" spans="1:18" s="11" customFormat="1">
      <c r="A24" s="11" t="s">
        <v>64</v>
      </c>
      <c r="B24" s="11" t="str">
        <f>IFERROR(VLOOKUP(A24,Employee_Master!$A$4:$I$63,2,FALSE),0)</f>
        <v>Employee 022</v>
      </c>
      <c r="C24" s="11" t="str">
        <f>IFERROR(VLOOKUP(A24,Employee_Master!$A$4:$I$63,3,FALSE),0)</f>
        <v>Engineering</v>
      </c>
      <c r="D24" s="11" t="str">
        <f>IFERROR(VLOOKUP(A24,Employee_Master!$A$4:$I$63,4,FALSE),0)</f>
        <v>Active</v>
      </c>
      <c r="E24" s="12">
        <f>IFERROR(VLOOKUP(A24,Employee_Master!$A$4:$I$63,7,FALSE),0)</f>
        <v>5350000</v>
      </c>
      <c r="F24" s="12">
        <f>IFERROR(VLOOKUP(A24,Employee_Master!$A$4:$I$63,8,FALSE),0)</f>
        <v>700000</v>
      </c>
      <c r="G24" s="11">
        <f>IFERROR(VLOOKUP(A24,Attendance_Current!$A$4:$F$63,5,FALSE),0)</f>
        <v>6</v>
      </c>
      <c r="H24" s="12">
        <f>IFERROR(VLOOKUP(A24,Employee_Master!$A$4:$I$63,9,FALSE),0)</f>
        <v>45000</v>
      </c>
      <c r="I24" s="12">
        <f>H24*G24</f>
        <v>270000</v>
      </c>
      <c r="J24" s="11">
        <f>IFERROR(VLOOKUP(A24,Attendance_Current!$A$4:$F$63,3,FALSE),0)</f>
        <v>0</v>
      </c>
      <c r="K24" s="12">
        <f>IF(J24=0,250000,0)</f>
        <v>250000</v>
      </c>
      <c r="L24" s="12">
        <f>IFERROR(VLOOKUP(A24,Prior_Month_Payroll!$A$4:$I$63,7,FALSE),0)</f>
        <v>0</v>
      </c>
      <c r="M24" s="12">
        <f>SUM(E24:F24,I24,K24)</f>
        <v>6570000</v>
      </c>
      <c r="N24" s="12">
        <f>M24-L24</f>
        <v>6570000</v>
      </c>
      <c r="O24" s="12">
        <f>IFERROR(VLOOKUP(A24,Prior_Month_Payroll!$A$4:$I$63,9,FALSE),0)</f>
        <v>6525000</v>
      </c>
      <c r="P24" s="12">
        <f>N24-O24</f>
        <v>45000</v>
      </c>
      <c r="Q24" s="13">
        <f>IFERROR(P24/O24,0)</f>
        <v>6.8965517241379309E-3</v>
      </c>
      <c r="R24" s="11" t="str">
        <f>IF(D24&lt;&gt;"active","check status",IF(G24&gt;40,"Check OT",IF(ABS(Q24)&gt;15%,"check variance","OK")))</f>
        <v>OK</v>
      </c>
    </row>
    <row r="25" spans="1:18" s="11" customFormat="1">
      <c r="A25" s="11" t="s">
        <v>66</v>
      </c>
      <c r="B25" s="11" t="str">
        <f>IFERROR(VLOOKUP(A25,Employee_Master!$A$4:$I$63,2,FALSE),0)</f>
        <v>Employee 023</v>
      </c>
      <c r="C25" s="11" t="str">
        <f>IFERROR(VLOOKUP(A25,Employee_Master!$A$4:$I$63,3,FALSE),0)</f>
        <v>Finance</v>
      </c>
      <c r="D25" s="11" t="str">
        <f>IFERROR(VLOOKUP(A25,Employee_Master!$A$4:$I$63,4,FALSE),0)</f>
        <v>Active</v>
      </c>
      <c r="E25" s="12">
        <f>IFERROR(VLOOKUP(A25,Employee_Master!$A$4:$I$63,7,FALSE),0)</f>
        <v>6800000</v>
      </c>
      <c r="F25" s="12">
        <f>IFERROR(VLOOKUP(A25,Employee_Master!$A$4:$I$63,8,FALSE),0)</f>
        <v>950000</v>
      </c>
      <c r="G25" s="11">
        <f>IFERROR(VLOOKUP(A25,Attendance_Current!$A$4:$F$63,5,FALSE),0)</f>
        <v>11</v>
      </c>
      <c r="H25" s="12">
        <f>IFERROR(VLOOKUP(A25,Employee_Master!$A$4:$I$63,9,FALSE),0)</f>
        <v>55000</v>
      </c>
      <c r="I25" s="12">
        <f>H25*G25</f>
        <v>605000</v>
      </c>
      <c r="J25" s="11">
        <f>IFERROR(VLOOKUP(A25,Attendance_Current!$A$4:$F$63,3,FALSE),0)</f>
        <v>0</v>
      </c>
      <c r="K25" s="12">
        <f>IF(J25=0,250000,0)</f>
        <v>250000</v>
      </c>
      <c r="L25" s="12">
        <f>IFERROR(VLOOKUP(A25,Prior_Month_Payroll!$A$4:$I$63,7,FALSE),0)</f>
        <v>75000</v>
      </c>
      <c r="M25" s="12">
        <f>SUM(E25:F25,I25,K25)</f>
        <v>8605000</v>
      </c>
      <c r="N25" s="12">
        <f>M25-L25</f>
        <v>8530000</v>
      </c>
      <c r="O25" s="12">
        <f>IFERROR(VLOOKUP(A25,Prior_Month_Payroll!$A$4:$I$63,9,FALSE),0)</f>
        <v>8420000</v>
      </c>
      <c r="P25" s="12">
        <f>N25-O25</f>
        <v>110000</v>
      </c>
      <c r="Q25" s="13">
        <f>IFERROR(P25/O25,0)</f>
        <v>1.3064133016627079E-2</v>
      </c>
      <c r="R25" s="11" t="str">
        <f>IF(D25&lt;&gt;"active","check status",IF(G25&gt;40,"Check OT",IF(ABS(Q25)&gt;15%,"check variance","OK")))</f>
        <v>OK</v>
      </c>
    </row>
    <row r="26" spans="1:18" s="11" customFormat="1">
      <c r="A26" s="11" t="s">
        <v>68</v>
      </c>
      <c r="B26" s="11" t="str">
        <f>IFERROR(VLOOKUP(A26,Employee_Master!$A$4:$I$63,2,FALSE),0)</f>
        <v>Employee 024</v>
      </c>
      <c r="C26" s="11" t="str">
        <f>IFERROR(VLOOKUP(A26,Employee_Master!$A$4:$I$63,3,FALSE),0)</f>
        <v>HR</v>
      </c>
      <c r="D26" s="11" t="str">
        <f>IFERROR(VLOOKUP(A26,Employee_Master!$A$4:$I$63,4,FALSE),0)</f>
        <v>Active</v>
      </c>
      <c r="E26" s="12">
        <f>IFERROR(VLOOKUP(A26,Employee_Master!$A$4:$I$63,7,FALSE),0)</f>
        <v>8000000</v>
      </c>
      <c r="F26" s="12">
        <f>IFERROR(VLOOKUP(A26,Employee_Master!$A$4:$I$63,8,FALSE),0)</f>
        <v>1200000</v>
      </c>
      <c r="G26" s="11">
        <f>IFERROR(VLOOKUP(A26,Attendance_Current!$A$4:$F$63,5,FALSE),0)</f>
        <v>16</v>
      </c>
      <c r="H26" s="12">
        <f>IFERROR(VLOOKUP(A26,Employee_Master!$A$4:$I$63,9,FALSE),0)</f>
        <v>70000</v>
      </c>
      <c r="I26" s="12">
        <f>H26*G26</f>
        <v>1120000</v>
      </c>
      <c r="J26" s="11">
        <f>IFERROR(VLOOKUP(A26,Attendance_Current!$A$4:$F$63,3,FALSE),0)</f>
        <v>0</v>
      </c>
      <c r="K26" s="12">
        <f>IF(J26=0,250000,0)</f>
        <v>250000</v>
      </c>
      <c r="L26" s="12">
        <f>IFERROR(VLOOKUP(A26,Prior_Month_Payroll!$A$4:$I$63,7,FALSE),0)</f>
        <v>0</v>
      </c>
      <c r="M26" s="12">
        <f>SUM(E26:F26,I26,K26)</f>
        <v>10570000</v>
      </c>
      <c r="N26" s="12">
        <f>M26-L26</f>
        <v>10570000</v>
      </c>
      <c r="O26" s="12">
        <f>IFERROR(VLOOKUP(A26,Prior_Month_Payroll!$A$4:$I$63,9,FALSE),0)</f>
        <v>10360000</v>
      </c>
      <c r="P26" s="12">
        <f>N26-O26</f>
        <v>210000</v>
      </c>
      <c r="Q26" s="13">
        <f>IFERROR(P26/O26,0)</f>
        <v>2.0270270270270271E-2</v>
      </c>
      <c r="R26" s="11" t="str">
        <f>IF(D26&lt;&gt;"active","check status",IF(G26&gt;40,"Check OT",IF(ABS(Q26)&gt;15%,"check variance","OK")))</f>
        <v>OK</v>
      </c>
    </row>
    <row r="27" spans="1:18" s="11" customFormat="1">
      <c r="A27" s="11" t="s">
        <v>70</v>
      </c>
      <c r="B27" s="11" t="str">
        <f>IFERROR(VLOOKUP(A27,Employee_Master!$A$4:$I$63,2,FALSE),0)</f>
        <v>Employee 025</v>
      </c>
      <c r="C27" s="11" t="str">
        <f>IFERROR(VLOOKUP(A27,Employee_Master!$A$4:$I$63,3,FALSE),0)</f>
        <v>Production</v>
      </c>
      <c r="D27" s="11" t="str">
        <f>IFERROR(VLOOKUP(A27,Employee_Master!$A$4:$I$63,4,FALSE),0)</f>
        <v>Active</v>
      </c>
      <c r="E27" s="12">
        <f>IFERROR(VLOOKUP(A27,Employee_Master!$A$4:$I$63,7,FALSE),0)</f>
        <v>4350000</v>
      </c>
      <c r="F27" s="12">
        <f>IFERROR(VLOOKUP(A27,Employee_Master!$A$4:$I$63,8,FALSE),0)</f>
        <v>500000</v>
      </c>
      <c r="G27" s="11">
        <f>IFERROR(VLOOKUP(A27,Attendance_Current!$A$4:$F$63,5,FALSE),0)</f>
        <v>21</v>
      </c>
      <c r="H27" s="12">
        <f>IFERROR(VLOOKUP(A27,Employee_Master!$A$4:$I$63,9,FALSE),0)</f>
        <v>35000</v>
      </c>
      <c r="I27" s="12">
        <f>H27*G27</f>
        <v>735000</v>
      </c>
      <c r="J27" s="11">
        <f>IFERROR(VLOOKUP(A27,Attendance_Current!$A$4:$F$63,3,FALSE),0)</f>
        <v>0</v>
      </c>
      <c r="K27" s="12">
        <f>IF(J27=0,250000,0)</f>
        <v>250000</v>
      </c>
      <c r="L27" s="12">
        <f>IFERROR(VLOOKUP(A27,Prior_Month_Payroll!$A$4:$I$63,7,FALSE),0)</f>
        <v>75000</v>
      </c>
      <c r="M27" s="12">
        <f>SUM(E27:F27,I27,K27)</f>
        <v>5835000</v>
      </c>
      <c r="N27" s="12">
        <f>M27-L27</f>
        <v>5760000</v>
      </c>
      <c r="O27" s="12">
        <f>IFERROR(VLOOKUP(A27,Prior_Month_Payroll!$A$4:$I$63,9,FALSE),0)</f>
        <v>5760000</v>
      </c>
      <c r="P27" s="12">
        <f>N27-O27</f>
        <v>0</v>
      </c>
      <c r="Q27" s="13">
        <f>IFERROR(P27/O27,0)</f>
        <v>0</v>
      </c>
      <c r="R27" s="11" t="str">
        <f>IF(D27&lt;&gt;"active","check status",IF(G27&gt;40,"Check OT",IF(ABS(Q27)&gt;15%,"check variance","OK")))</f>
        <v>OK</v>
      </c>
    </row>
    <row r="28" spans="1:18" s="11" customFormat="1">
      <c r="A28" s="11" t="s">
        <v>72</v>
      </c>
      <c r="B28" s="11" t="str">
        <f>IFERROR(VLOOKUP(A28,Employee_Master!$A$4:$I$63,2,FALSE),0)</f>
        <v>Employee 026</v>
      </c>
      <c r="C28" s="11" t="str">
        <f>IFERROR(VLOOKUP(A28,Employee_Master!$A$4:$I$63,3,FALSE),0)</f>
        <v>Quality Control</v>
      </c>
      <c r="D28" s="11" t="str">
        <f>IFERROR(VLOOKUP(A28,Employee_Master!$A$4:$I$63,4,FALSE),0)</f>
        <v>Active</v>
      </c>
      <c r="E28" s="12">
        <f>IFERROR(VLOOKUP(A28,Employee_Master!$A$4:$I$63,7,FALSE),0)</f>
        <v>5500000</v>
      </c>
      <c r="F28" s="12">
        <f>IFERROR(VLOOKUP(A28,Employee_Master!$A$4:$I$63,8,FALSE),0)</f>
        <v>700000</v>
      </c>
      <c r="G28" s="11">
        <f>IFERROR(VLOOKUP(A28,Attendance_Current!$A$4:$F$63,5,FALSE),0)</f>
        <v>0</v>
      </c>
      <c r="H28" s="12">
        <f>IFERROR(VLOOKUP(A28,Employee_Master!$A$4:$I$63,9,FALSE),0)</f>
        <v>45000</v>
      </c>
      <c r="I28" s="12">
        <f>H28*G28</f>
        <v>0</v>
      </c>
      <c r="J28" s="11">
        <f>IFERROR(VLOOKUP(A28,Attendance_Current!$A$4:$F$63,3,FALSE),0)</f>
        <v>0</v>
      </c>
      <c r="K28" s="12">
        <f>IF(J28=0,250000,0)</f>
        <v>250000</v>
      </c>
      <c r="L28" s="12">
        <f>IFERROR(VLOOKUP(A28,Prior_Month_Payroll!$A$4:$I$63,7,FALSE),0)</f>
        <v>0</v>
      </c>
      <c r="M28" s="12">
        <f>SUM(E28:F28,I28,K28)</f>
        <v>6450000</v>
      </c>
      <c r="N28" s="12">
        <f>M28-L28</f>
        <v>6450000</v>
      </c>
      <c r="O28" s="12">
        <f>IFERROR(VLOOKUP(A28,Prior_Month_Payroll!$A$4:$I$63,9,FALSE),0)</f>
        <v>6450000</v>
      </c>
      <c r="P28" s="12">
        <f>N28-O28</f>
        <v>0</v>
      </c>
      <c r="Q28" s="13">
        <f>IFERROR(P28/O28,0)</f>
        <v>0</v>
      </c>
      <c r="R28" s="11" t="str">
        <f>IF(D28&lt;&gt;"active","check status",IF(G28&gt;40,"Check OT",IF(ABS(Q28)&gt;15%,"check variance","OK")))</f>
        <v>OK</v>
      </c>
    </row>
    <row r="29" spans="1:18" s="11" customFormat="1">
      <c r="A29" s="11" t="s">
        <v>74</v>
      </c>
      <c r="B29" s="11" t="str">
        <f>IFERROR(VLOOKUP(A29,Employee_Master!$A$4:$I$63,2,FALSE),0)</f>
        <v>Employee 027</v>
      </c>
      <c r="C29" s="11" t="str">
        <f>IFERROR(VLOOKUP(A29,Employee_Master!$A$4:$I$63,3,FALSE),0)</f>
        <v>Warehouse</v>
      </c>
      <c r="D29" s="11" t="str">
        <f>IFERROR(VLOOKUP(A29,Employee_Master!$A$4:$I$63,4,FALSE),0)</f>
        <v>Active</v>
      </c>
      <c r="E29" s="12">
        <f>IFERROR(VLOOKUP(A29,Employee_Master!$A$4:$I$63,7,FALSE),0)</f>
        <v>6500000</v>
      </c>
      <c r="F29" s="12">
        <f>IFERROR(VLOOKUP(A29,Employee_Master!$A$4:$I$63,8,FALSE),0)</f>
        <v>950000</v>
      </c>
      <c r="G29" s="11">
        <f>IFERROR(VLOOKUP(A29,Attendance_Current!$A$4:$F$63,5,FALSE),0)</f>
        <v>5</v>
      </c>
      <c r="H29" s="12">
        <f>IFERROR(VLOOKUP(A29,Employee_Master!$A$4:$I$63,9,FALSE),0)</f>
        <v>55000</v>
      </c>
      <c r="I29" s="12">
        <f>H29*G29</f>
        <v>275000</v>
      </c>
      <c r="J29" s="11">
        <f>IFERROR(VLOOKUP(A29,Attendance_Current!$A$4:$F$63,3,FALSE),0)</f>
        <v>0</v>
      </c>
      <c r="K29" s="12">
        <f>IF(J29=0,250000,0)</f>
        <v>250000</v>
      </c>
      <c r="L29" s="12">
        <f>IFERROR(VLOOKUP(A29,Prior_Month_Payroll!$A$4:$I$63,7,FALSE),0)</f>
        <v>75000</v>
      </c>
      <c r="M29" s="12">
        <f>SUM(E29:F29,I29,K29)</f>
        <v>7975000</v>
      </c>
      <c r="N29" s="12">
        <f>M29-L29</f>
        <v>7900000</v>
      </c>
      <c r="O29" s="12">
        <f>IFERROR(VLOOKUP(A29,Prior_Month_Payroll!$A$4:$I$63,9,FALSE),0)</f>
        <v>7790000</v>
      </c>
      <c r="P29" s="12">
        <f>N29-O29</f>
        <v>110000</v>
      </c>
      <c r="Q29" s="13">
        <f>IFERROR(P29/O29,0)</f>
        <v>1.4120667522464698E-2</v>
      </c>
      <c r="R29" s="11" t="str">
        <f>IF(D29&lt;&gt;"active","check status",IF(G29&gt;40,"Check OT",IF(ABS(Q29)&gt;15%,"check variance","OK")))</f>
        <v>OK</v>
      </c>
    </row>
    <row r="30" spans="1:18" s="11" customFormat="1">
      <c r="A30" s="11" t="s">
        <v>76</v>
      </c>
      <c r="B30" s="11" t="str">
        <f>IFERROR(VLOOKUP(A30,Employee_Master!$A$4:$I$63,2,FALSE),0)</f>
        <v>Employee 028</v>
      </c>
      <c r="C30" s="11" t="str">
        <f>IFERROR(VLOOKUP(A30,Employee_Master!$A$4:$I$63,3,FALSE),0)</f>
        <v>Engineering</v>
      </c>
      <c r="D30" s="11" t="str">
        <f>IFERROR(VLOOKUP(A30,Employee_Master!$A$4:$I$63,4,FALSE),0)</f>
        <v>Active</v>
      </c>
      <c r="E30" s="12">
        <f>IFERROR(VLOOKUP(A30,Employee_Master!$A$4:$I$63,7,FALSE),0)</f>
        <v>8150000</v>
      </c>
      <c r="F30" s="12">
        <f>IFERROR(VLOOKUP(A30,Employee_Master!$A$4:$I$63,8,FALSE),0)</f>
        <v>1200000</v>
      </c>
      <c r="G30" s="11">
        <f>IFERROR(VLOOKUP(A30,Attendance_Current!$A$4:$F$63,5,FALSE),0)</f>
        <v>10</v>
      </c>
      <c r="H30" s="12">
        <f>IFERROR(VLOOKUP(A30,Employee_Master!$A$4:$I$63,9,FALSE),0)</f>
        <v>70000</v>
      </c>
      <c r="I30" s="12">
        <f>H30*G30</f>
        <v>700000</v>
      </c>
      <c r="J30" s="11">
        <f>IFERROR(VLOOKUP(A30,Attendance_Current!$A$4:$F$63,3,FALSE),0)</f>
        <v>1</v>
      </c>
      <c r="K30" s="12">
        <f>IF(J30=0,250000,0)</f>
        <v>0</v>
      </c>
      <c r="L30" s="12">
        <f>IFERROR(VLOOKUP(A30,Prior_Month_Payroll!$A$4:$I$63,7,FALSE),0)</f>
        <v>100000</v>
      </c>
      <c r="M30" s="12">
        <f>SUM(E30:F30,I30,K30)</f>
        <v>10050000</v>
      </c>
      <c r="N30" s="12">
        <f>M30-L30</f>
        <v>9950000</v>
      </c>
      <c r="O30" s="12">
        <f>IFERROR(VLOOKUP(A30,Prior_Month_Payroll!$A$4:$I$63,9,FALSE),0)</f>
        <v>9740000</v>
      </c>
      <c r="P30" s="12">
        <f>N30-O30</f>
        <v>210000</v>
      </c>
      <c r="Q30" s="13">
        <f>IFERROR(P30/O30,0)</f>
        <v>2.1560574948665298E-2</v>
      </c>
      <c r="R30" s="11" t="str">
        <f>IF(D30&lt;&gt;"active","check status",IF(G30&gt;40,"Check OT",IF(ABS(Q30)&gt;15%,"check variance","OK")))</f>
        <v>OK</v>
      </c>
    </row>
    <row r="31" spans="1:18" s="11" customFormat="1">
      <c r="A31" s="11" t="s">
        <v>78</v>
      </c>
      <c r="B31" s="11" t="str">
        <f>IFERROR(VLOOKUP(A31,Employee_Master!$A$4:$I$63,2,FALSE),0)</f>
        <v>Employee 029</v>
      </c>
      <c r="C31" s="11" t="str">
        <f>IFERROR(VLOOKUP(A31,Employee_Master!$A$4:$I$63,3,FALSE),0)</f>
        <v>Finance</v>
      </c>
      <c r="D31" s="11" t="str">
        <f>IFERROR(VLOOKUP(A31,Employee_Master!$A$4:$I$63,4,FALSE),0)</f>
        <v>Active</v>
      </c>
      <c r="E31" s="12">
        <f>IFERROR(VLOOKUP(A31,Employee_Master!$A$4:$I$63,7,FALSE),0)</f>
        <v>4500000</v>
      </c>
      <c r="F31" s="12">
        <f>IFERROR(VLOOKUP(A31,Employee_Master!$A$4:$I$63,8,FALSE),0)</f>
        <v>500000</v>
      </c>
      <c r="G31" s="11">
        <f>IFERROR(VLOOKUP(A31,Attendance_Current!$A$4:$F$63,5,FALSE),0)</f>
        <v>15</v>
      </c>
      <c r="H31" s="12">
        <f>IFERROR(VLOOKUP(A31,Employee_Master!$A$4:$I$63,9,FALSE),0)</f>
        <v>35000</v>
      </c>
      <c r="I31" s="12">
        <f>H31*G31</f>
        <v>525000</v>
      </c>
      <c r="J31" s="11">
        <f>IFERROR(VLOOKUP(A31,Attendance_Current!$A$4:$F$63,3,FALSE),0)</f>
        <v>0</v>
      </c>
      <c r="K31" s="12">
        <f>IF(J31=0,250000,0)</f>
        <v>250000</v>
      </c>
      <c r="L31" s="12">
        <f>IFERROR(VLOOKUP(A31,Prior_Month_Payroll!$A$4:$I$63,7,FALSE),0)</f>
        <v>75000</v>
      </c>
      <c r="M31" s="12">
        <f>SUM(E31:F31,I31,K31)</f>
        <v>5775000</v>
      </c>
      <c r="N31" s="12">
        <f>M31-L31</f>
        <v>5700000</v>
      </c>
      <c r="O31" s="12">
        <f>IFERROR(VLOOKUP(A31,Prior_Month_Payroll!$A$4:$I$63,9,FALSE),0)</f>
        <v>5700000</v>
      </c>
      <c r="P31" s="12">
        <f>N31-O31</f>
        <v>0</v>
      </c>
      <c r="Q31" s="13">
        <f>IFERROR(P31/O31,0)</f>
        <v>0</v>
      </c>
      <c r="R31" s="11" t="str">
        <f>IF(D31&lt;&gt;"active","check status",IF(G31&gt;40,"Check OT",IF(ABS(Q31)&gt;15%,"check variance","OK")))</f>
        <v>OK</v>
      </c>
    </row>
    <row r="32" spans="1:18" s="11" customFormat="1">
      <c r="A32" s="11" t="s">
        <v>80</v>
      </c>
      <c r="B32" s="11" t="str">
        <f>IFERROR(VLOOKUP(A32,Employee_Master!$A$4:$I$63,2,FALSE),0)</f>
        <v>Employee 030</v>
      </c>
      <c r="C32" s="11" t="str">
        <f>IFERROR(VLOOKUP(A32,Employee_Master!$A$4:$I$63,3,FALSE),0)</f>
        <v>HR</v>
      </c>
      <c r="D32" s="11" t="str">
        <f>IFERROR(VLOOKUP(A32,Employee_Master!$A$4:$I$63,4,FALSE),0)</f>
        <v>Active</v>
      </c>
      <c r="E32" s="12">
        <f>IFERROR(VLOOKUP(A32,Employee_Master!$A$4:$I$63,7,FALSE),0)</f>
        <v>5200000</v>
      </c>
      <c r="F32" s="12">
        <f>IFERROR(VLOOKUP(A32,Employee_Master!$A$4:$I$63,8,FALSE),0)</f>
        <v>700000</v>
      </c>
      <c r="G32" s="11">
        <f>IFERROR(VLOOKUP(A32,Attendance_Current!$A$4:$F$63,5,FALSE),0)</f>
        <v>20</v>
      </c>
      <c r="H32" s="12">
        <f>IFERROR(VLOOKUP(A32,Employee_Master!$A$4:$I$63,9,FALSE),0)</f>
        <v>45000</v>
      </c>
      <c r="I32" s="12">
        <f>H32*G32</f>
        <v>900000</v>
      </c>
      <c r="J32" s="11">
        <f>IFERROR(VLOOKUP(A32,Attendance_Current!$A$4:$F$63,3,FALSE),0)</f>
        <v>0</v>
      </c>
      <c r="K32" s="12">
        <f>IF(J32=0,250000,0)</f>
        <v>250000</v>
      </c>
      <c r="L32" s="12">
        <f>IFERROR(VLOOKUP(A32,Prior_Month_Payroll!$A$4:$I$63,7,FALSE),0)</f>
        <v>0</v>
      </c>
      <c r="M32" s="12">
        <f>SUM(E32:F32,I32,K32)</f>
        <v>7050000</v>
      </c>
      <c r="N32" s="12">
        <f>M32-L32</f>
        <v>7050000</v>
      </c>
      <c r="O32" s="12">
        <f>IFERROR(VLOOKUP(A32,Prior_Month_Payroll!$A$4:$I$63,9,FALSE),0)</f>
        <v>7005000</v>
      </c>
      <c r="P32" s="12">
        <f>N32-O32</f>
        <v>45000</v>
      </c>
      <c r="Q32" s="13">
        <f>IFERROR(P32/O32,0)</f>
        <v>6.4239828693790149E-3</v>
      </c>
      <c r="R32" s="11" t="str">
        <f>IF(D32&lt;&gt;"active","check status",IF(G32&gt;40,"Check OT",IF(ABS(Q32)&gt;15%,"check variance","OK")))</f>
        <v>OK</v>
      </c>
    </row>
    <row r="33" spans="1:18" s="11" customFormat="1">
      <c r="A33" s="11" t="s">
        <v>82</v>
      </c>
      <c r="B33" s="11" t="str">
        <f>IFERROR(VLOOKUP(A33,Employee_Master!$A$4:$I$63,2,FALSE),0)</f>
        <v>Employee 031</v>
      </c>
      <c r="C33" s="11" t="str">
        <f>IFERROR(VLOOKUP(A33,Employee_Master!$A$4:$I$63,3,FALSE),0)</f>
        <v>Production</v>
      </c>
      <c r="D33" s="11" t="str">
        <f>IFERROR(VLOOKUP(A33,Employee_Master!$A$4:$I$63,4,FALSE),0)</f>
        <v>Active</v>
      </c>
      <c r="E33" s="12">
        <f>IFERROR(VLOOKUP(A33,Employee_Master!$A$4:$I$63,7,FALSE),0)</f>
        <v>6650000</v>
      </c>
      <c r="F33" s="12">
        <f>IFERROR(VLOOKUP(A33,Employee_Master!$A$4:$I$63,8,FALSE),0)</f>
        <v>950000</v>
      </c>
      <c r="G33" s="11">
        <f>IFERROR(VLOOKUP(A33,Attendance_Current!$A$4:$F$63,5,FALSE),0)</f>
        <v>25</v>
      </c>
      <c r="H33" s="12">
        <f>IFERROR(VLOOKUP(A33,Employee_Master!$A$4:$I$63,9,FALSE),0)</f>
        <v>55000</v>
      </c>
      <c r="I33" s="12">
        <f>H33*G33</f>
        <v>1375000</v>
      </c>
      <c r="J33" s="11">
        <f>IFERROR(VLOOKUP(A33,Attendance_Current!$A$4:$F$63,3,FALSE),0)</f>
        <v>0</v>
      </c>
      <c r="K33" s="12">
        <f>IF(J33=0,250000,0)</f>
        <v>250000</v>
      </c>
      <c r="L33" s="12">
        <f>IFERROR(VLOOKUP(A33,Prior_Month_Payroll!$A$4:$I$63,7,FALSE),0)</f>
        <v>75000</v>
      </c>
      <c r="M33" s="12">
        <f>SUM(E33:F33,I33,K33)</f>
        <v>9225000</v>
      </c>
      <c r="N33" s="12">
        <f>M33-L33</f>
        <v>9150000</v>
      </c>
      <c r="O33" s="12">
        <f>IFERROR(VLOOKUP(A33,Prior_Month_Payroll!$A$4:$I$63,9,FALSE),0)</f>
        <v>9040000</v>
      </c>
      <c r="P33" s="12">
        <f>N33-O33</f>
        <v>110000</v>
      </c>
      <c r="Q33" s="13">
        <f>IFERROR(P33/O33,0)</f>
        <v>1.2168141592920354E-2</v>
      </c>
      <c r="R33" s="11" t="str">
        <f>IF(D33&lt;&gt;"active","check status",IF(G33&gt;40,"Check OT",IF(ABS(Q33)&gt;15%,"check variance","OK")))</f>
        <v>OK</v>
      </c>
    </row>
    <row r="34" spans="1:18" s="11" customFormat="1">
      <c r="A34" s="11" t="s">
        <v>84</v>
      </c>
      <c r="B34" s="11" t="str">
        <f>IFERROR(VLOOKUP(A34,Employee_Master!$A$4:$I$63,2,FALSE),0)</f>
        <v>Employee 032</v>
      </c>
      <c r="C34" s="11" t="str">
        <f>IFERROR(VLOOKUP(A34,Employee_Master!$A$4:$I$63,3,FALSE),0)</f>
        <v>Quality Control</v>
      </c>
      <c r="D34" s="11" t="str">
        <f>IFERROR(VLOOKUP(A34,Employee_Master!$A$4:$I$63,4,FALSE),0)</f>
        <v>Active</v>
      </c>
      <c r="E34" s="12">
        <f>IFERROR(VLOOKUP(A34,Employee_Master!$A$4:$I$63,7,FALSE),0)</f>
        <v>8300000</v>
      </c>
      <c r="F34" s="12">
        <f>IFERROR(VLOOKUP(A34,Employee_Master!$A$4:$I$63,8,FALSE),0)</f>
        <v>1200000</v>
      </c>
      <c r="G34" s="11">
        <f>IFERROR(VLOOKUP(A34,Attendance_Current!$A$4:$F$63,5,FALSE),0)</f>
        <v>4</v>
      </c>
      <c r="H34" s="12">
        <f>IFERROR(VLOOKUP(A34,Employee_Master!$A$4:$I$63,9,FALSE),0)</f>
        <v>70000</v>
      </c>
      <c r="I34" s="12">
        <f>H34*G34</f>
        <v>280000</v>
      </c>
      <c r="J34" s="11">
        <f>IFERROR(VLOOKUP(A34,Attendance_Current!$A$4:$F$63,3,FALSE),0)</f>
        <v>0</v>
      </c>
      <c r="K34" s="12">
        <f>IF(J34=0,250000,0)</f>
        <v>250000</v>
      </c>
      <c r="L34" s="12">
        <f>IFERROR(VLOOKUP(A34,Prior_Month_Payroll!$A$4:$I$63,7,FALSE),0)</f>
        <v>0</v>
      </c>
      <c r="M34" s="12">
        <f>SUM(E34:F34,I34,K34)</f>
        <v>10030000</v>
      </c>
      <c r="N34" s="12">
        <f>M34-L34</f>
        <v>10030000</v>
      </c>
      <c r="O34" s="12">
        <f>IFERROR(VLOOKUP(A34,Prior_Month_Payroll!$A$4:$I$63,9,FALSE),0)</f>
        <v>9820000</v>
      </c>
      <c r="P34" s="12">
        <f>N34-O34</f>
        <v>210000</v>
      </c>
      <c r="Q34" s="13">
        <f>IFERROR(P34/O34,0)</f>
        <v>2.1384928716904276E-2</v>
      </c>
      <c r="R34" s="11" t="str">
        <f>IF(D34&lt;&gt;"active","check status",IF(G34&gt;40,"Check OT",IF(ABS(Q34)&gt;15%,"check variance","OK")))</f>
        <v>OK</v>
      </c>
    </row>
    <row r="35" spans="1:18" s="11" customFormat="1">
      <c r="A35" s="11" t="s">
        <v>86</v>
      </c>
      <c r="B35" s="11" t="str">
        <f>IFERROR(VLOOKUP(A35,Employee_Master!$A$4:$I$63,2,FALSE),0)</f>
        <v>Employee 033</v>
      </c>
      <c r="C35" s="11" t="str">
        <f>IFERROR(VLOOKUP(A35,Employee_Master!$A$4:$I$63,3,FALSE),0)</f>
        <v>Warehouse</v>
      </c>
      <c r="D35" s="11" t="str">
        <f>IFERROR(VLOOKUP(A35,Employee_Master!$A$4:$I$63,4,FALSE),0)</f>
        <v>Active</v>
      </c>
      <c r="E35" s="12">
        <f>IFERROR(VLOOKUP(A35,Employee_Master!$A$4:$I$63,7,FALSE),0)</f>
        <v>4200000</v>
      </c>
      <c r="F35" s="12">
        <f>IFERROR(VLOOKUP(A35,Employee_Master!$A$4:$I$63,8,FALSE),0)</f>
        <v>500000</v>
      </c>
      <c r="G35" s="11">
        <f>IFERROR(VLOOKUP(A35,Attendance_Current!$A$4:$F$63,5,FALSE),0)</f>
        <v>9</v>
      </c>
      <c r="H35" s="12">
        <f>IFERROR(VLOOKUP(A35,Employee_Master!$A$4:$I$63,9,FALSE),0)</f>
        <v>35000</v>
      </c>
      <c r="I35" s="12">
        <f>H35*G35</f>
        <v>315000</v>
      </c>
      <c r="J35" s="11">
        <f>IFERROR(VLOOKUP(A35,Attendance_Current!$A$4:$F$63,3,FALSE),0)</f>
        <v>0</v>
      </c>
      <c r="K35" s="12">
        <f>IF(J35=0,250000,0)</f>
        <v>250000</v>
      </c>
      <c r="L35" s="12">
        <f>IFERROR(VLOOKUP(A35,Prior_Month_Payroll!$A$4:$I$63,7,FALSE),0)</f>
        <v>75000</v>
      </c>
      <c r="M35" s="12">
        <f>SUM(E35:F35,I35,K35)</f>
        <v>5265000</v>
      </c>
      <c r="N35" s="12">
        <f>M35-L35</f>
        <v>5190000</v>
      </c>
      <c r="O35" s="12">
        <f>IFERROR(VLOOKUP(A35,Prior_Month_Payroll!$A$4:$I$63,9,FALSE),0)</f>
        <v>5190000</v>
      </c>
      <c r="P35" s="12">
        <f>N35-O35</f>
        <v>0</v>
      </c>
      <c r="Q35" s="13">
        <f>IFERROR(P35/O35,0)</f>
        <v>0</v>
      </c>
      <c r="R35" s="11" t="str">
        <f>IF(D35&lt;&gt;"active","check status",IF(G35&gt;40,"Check OT",IF(ABS(Q35)&gt;15%,"check variance","OK")))</f>
        <v>OK</v>
      </c>
    </row>
    <row r="36" spans="1:18" s="11" customFormat="1">
      <c r="A36" s="11" t="s">
        <v>88</v>
      </c>
      <c r="B36" s="11" t="str">
        <f>IFERROR(VLOOKUP(A36,Employee_Master!$A$4:$I$63,2,FALSE),0)</f>
        <v>Employee 034</v>
      </c>
      <c r="C36" s="11" t="str">
        <f>IFERROR(VLOOKUP(A36,Employee_Master!$A$4:$I$63,3,FALSE),0)</f>
        <v>Engineering</v>
      </c>
      <c r="D36" s="11" t="str">
        <f>IFERROR(VLOOKUP(A36,Employee_Master!$A$4:$I$63,4,FALSE),0)</f>
        <v>Resigned</v>
      </c>
      <c r="E36" s="12">
        <f>IFERROR(VLOOKUP(A36,Employee_Master!$A$4:$I$63,7,FALSE),0)</f>
        <v>5350000</v>
      </c>
      <c r="F36" s="12">
        <f>IFERROR(VLOOKUP(A36,Employee_Master!$A$4:$I$63,8,FALSE),0)</f>
        <v>700000</v>
      </c>
      <c r="G36" s="11">
        <f>IFERROR(VLOOKUP(A36,Attendance_Current!$A$4:$F$63,5,FALSE),0)</f>
        <v>12</v>
      </c>
      <c r="H36" s="12">
        <f>IFERROR(VLOOKUP(A36,Employee_Master!$A$4:$I$63,9,FALSE),0)</f>
        <v>45000</v>
      </c>
      <c r="I36" s="12">
        <f>H36*G36</f>
        <v>540000</v>
      </c>
      <c r="J36" s="11">
        <f>IFERROR(VLOOKUP(A36,Attendance_Current!$A$4:$F$63,3,FALSE),0)</f>
        <v>0</v>
      </c>
      <c r="K36" s="12">
        <f>IF(J36=0,250000,0)</f>
        <v>250000</v>
      </c>
      <c r="L36" s="12">
        <f>IFERROR(VLOOKUP(A36,Prior_Month_Payroll!$A$4:$I$63,7,FALSE),0)</f>
        <v>0</v>
      </c>
      <c r="M36" s="12">
        <f>SUM(E36:F36,I36,K36)</f>
        <v>6840000</v>
      </c>
      <c r="N36" s="12">
        <f>M36-L36</f>
        <v>6840000</v>
      </c>
      <c r="O36" s="12">
        <f>IFERROR(VLOOKUP(A36,Prior_Month_Payroll!$A$4:$I$63,9,FALSE),0)</f>
        <v>6795000</v>
      </c>
      <c r="P36" s="12">
        <f>N36-O36</f>
        <v>45000</v>
      </c>
      <c r="Q36" s="13">
        <f>IFERROR(P36/O36,0)</f>
        <v>6.6225165562913907E-3</v>
      </c>
      <c r="R36" s="11" t="str">
        <f>IF(D36&lt;&gt;"active","check status",IF(G36&gt;40,"Check OT",IF(ABS(Q36)&gt;15%,"check variance","OK")))</f>
        <v>check status</v>
      </c>
    </row>
    <row r="37" spans="1:18" s="11" customFormat="1">
      <c r="A37" s="11" t="s">
        <v>90</v>
      </c>
      <c r="B37" s="11" t="str">
        <f>IFERROR(VLOOKUP(A37,Employee_Master!$A$4:$I$63,2,FALSE),0)</f>
        <v>Employee 035</v>
      </c>
      <c r="C37" s="11" t="str">
        <f>IFERROR(VLOOKUP(A37,Employee_Master!$A$4:$I$63,3,FALSE),0)</f>
        <v>Finance</v>
      </c>
      <c r="D37" s="11" t="str">
        <f>IFERROR(VLOOKUP(A37,Employee_Master!$A$4:$I$63,4,FALSE),0)</f>
        <v>Active</v>
      </c>
      <c r="E37" s="12">
        <f>IFERROR(VLOOKUP(A37,Employee_Master!$A$4:$I$63,7,FALSE),0)</f>
        <v>6800000</v>
      </c>
      <c r="F37" s="12">
        <f>IFERROR(VLOOKUP(A37,Employee_Master!$A$4:$I$63,8,FALSE),0)</f>
        <v>950000</v>
      </c>
      <c r="G37" s="11">
        <f>IFERROR(VLOOKUP(A37,Attendance_Current!$A$4:$F$63,5,FALSE),0)</f>
        <v>19</v>
      </c>
      <c r="H37" s="12">
        <f>IFERROR(VLOOKUP(A37,Employee_Master!$A$4:$I$63,9,FALSE),0)</f>
        <v>55000</v>
      </c>
      <c r="I37" s="12">
        <f>H37*G37</f>
        <v>1045000</v>
      </c>
      <c r="J37" s="11">
        <f>IFERROR(VLOOKUP(A37,Attendance_Current!$A$4:$F$63,3,FALSE),0)</f>
        <v>1</v>
      </c>
      <c r="K37" s="12">
        <f>IF(J37=0,250000,0)</f>
        <v>0</v>
      </c>
      <c r="L37" s="12">
        <f>IFERROR(VLOOKUP(A37,Prior_Month_Payroll!$A$4:$I$63,7,FALSE),0)</f>
        <v>175000</v>
      </c>
      <c r="M37" s="12">
        <f>SUM(E37:F37,I37,K37)</f>
        <v>8795000</v>
      </c>
      <c r="N37" s="12">
        <f>M37-L37</f>
        <v>8620000</v>
      </c>
      <c r="O37" s="12">
        <f>IFERROR(VLOOKUP(A37,Prior_Month_Payroll!$A$4:$I$63,9,FALSE),0)</f>
        <v>8510000</v>
      </c>
      <c r="P37" s="12">
        <f>N37-O37</f>
        <v>110000</v>
      </c>
      <c r="Q37" s="13">
        <f>IFERROR(P37/O37,0)</f>
        <v>1.2925969447708578E-2</v>
      </c>
      <c r="R37" s="11" t="str">
        <f>IF(D37&lt;&gt;"active","check status",IF(G37&gt;40,"Check OT",IF(ABS(Q37)&gt;15%,"check variance","OK")))</f>
        <v>OK</v>
      </c>
    </row>
    <row r="38" spans="1:18" s="11" customFormat="1">
      <c r="A38" s="11" t="s">
        <v>92</v>
      </c>
      <c r="B38" s="11" t="str">
        <f>IFERROR(VLOOKUP(A38,Employee_Master!$A$4:$I$63,2,FALSE),0)</f>
        <v>Employee 036</v>
      </c>
      <c r="C38" s="11" t="str">
        <f>IFERROR(VLOOKUP(A38,Employee_Master!$A$4:$I$63,3,FALSE),0)</f>
        <v>HR</v>
      </c>
      <c r="D38" s="11" t="str">
        <f>IFERROR(VLOOKUP(A38,Employee_Master!$A$4:$I$63,4,FALSE),0)</f>
        <v>Active</v>
      </c>
      <c r="E38" s="12">
        <f>IFERROR(VLOOKUP(A38,Employee_Master!$A$4:$I$63,7,FALSE),0)</f>
        <v>8000000</v>
      </c>
      <c r="F38" s="12">
        <f>IFERROR(VLOOKUP(A38,Employee_Master!$A$4:$I$63,8,FALSE),0)</f>
        <v>1200000</v>
      </c>
      <c r="G38" s="11">
        <f>IFERROR(VLOOKUP(A38,Attendance_Current!$A$4:$F$63,5,FALSE),0)</f>
        <v>24</v>
      </c>
      <c r="H38" s="12">
        <f>IFERROR(VLOOKUP(A38,Employee_Master!$A$4:$I$63,9,FALSE),0)</f>
        <v>70000</v>
      </c>
      <c r="I38" s="12">
        <f>H38*G38</f>
        <v>1680000</v>
      </c>
      <c r="J38" s="11">
        <f>IFERROR(VLOOKUP(A38,Attendance_Current!$A$4:$F$63,3,FALSE),0)</f>
        <v>0</v>
      </c>
      <c r="K38" s="12">
        <f>IF(J38=0,250000,0)</f>
        <v>250000</v>
      </c>
      <c r="L38" s="12">
        <f>IFERROR(VLOOKUP(A38,Prior_Month_Payroll!$A$4:$I$63,7,FALSE),0)</f>
        <v>0</v>
      </c>
      <c r="M38" s="12">
        <f>SUM(E38:F38,I38,K38)</f>
        <v>11130000</v>
      </c>
      <c r="N38" s="12">
        <f>M38-L38</f>
        <v>11130000</v>
      </c>
      <c r="O38" s="12">
        <f>IFERROR(VLOOKUP(A38,Prior_Month_Payroll!$A$4:$I$63,9,FALSE),0)</f>
        <v>10920000</v>
      </c>
      <c r="P38" s="12">
        <f>N38-O38</f>
        <v>210000</v>
      </c>
      <c r="Q38" s="13">
        <f>IFERROR(P38/O38,0)</f>
        <v>1.9230769230769232E-2</v>
      </c>
      <c r="R38" s="11" t="str">
        <f>IF(D38&lt;&gt;"active","check status",IF(G38&gt;40,"Check OT",IF(ABS(Q38)&gt;15%,"check variance","OK")))</f>
        <v>OK</v>
      </c>
    </row>
    <row r="39" spans="1:18" s="11" customFormat="1">
      <c r="A39" s="11" t="s">
        <v>94</v>
      </c>
      <c r="B39" s="11" t="str">
        <f>IFERROR(VLOOKUP(A39,Employee_Master!$A$4:$I$63,2,FALSE),0)</f>
        <v>Employee 037</v>
      </c>
      <c r="C39" s="11" t="str">
        <f>IFERROR(VLOOKUP(A39,Employee_Master!$A$4:$I$63,3,FALSE),0)</f>
        <v>Production</v>
      </c>
      <c r="D39" s="11" t="str">
        <f>IFERROR(VLOOKUP(A39,Employee_Master!$A$4:$I$63,4,FALSE),0)</f>
        <v>Active</v>
      </c>
      <c r="E39" s="12">
        <f>IFERROR(VLOOKUP(A39,Employee_Master!$A$4:$I$63,7,FALSE),0)</f>
        <v>4350000</v>
      </c>
      <c r="F39" s="12">
        <f>IFERROR(VLOOKUP(A39,Employee_Master!$A$4:$I$63,8,FALSE),0)</f>
        <v>500000</v>
      </c>
      <c r="G39" s="11">
        <f>IFERROR(VLOOKUP(A39,Attendance_Current!$A$4:$F$63,5,FALSE),0)</f>
        <v>3</v>
      </c>
      <c r="H39" s="12">
        <f>IFERROR(VLOOKUP(A39,Employee_Master!$A$4:$I$63,9,FALSE),0)</f>
        <v>35000</v>
      </c>
      <c r="I39" s="12">
        <f>H39*G39</f>
        <v>105000</v>
      </c>
      <c r="J39" s="11">
        <f>IFERROR(VLOOKUP(A39,Attendance_Current!$A$4:$F$63,3,FALSE),0)</f>
        <v>0</v>
      </c>
      <c r="K39" s="12">
        <f>IF(J39=0,250000,0)</f>
        <v>250000</v>
      </c>
      <c r="L39" s="12">
        <f>IFERROR(VLOOKUP(A39,Prior_Month_Payroll!$A$4:$I$63,7,FALSE),0)</f>
        <v>75000</v>
      </c>
      <c r="M39" s="12">
        <f>SUM(E39:F39,I39,K39)</f>
        <v>5205000</v>
      </c>
      <c r="N39" s="12">
        <f>M39-L39</f>
        <v>5130000</v>
      </c>
      <c r="O39" s="12">
        <f>IFERROR(VLOOKUP(A39,Prior_Month_Payroll!$A$4:$I$63,9,FALSE),0)</f>
        <v>5130000</v>
      </c>
      <c r="P39" s="12">
        <f>N39-O39</f>
        <v>0</v>
      </c>
      <c r="Q39" s="13">
        <f>IFERROR(P39/O39,0)</f>
        <v>0</v>
      </c>
      <c r="R39" s="11" t="str">
        <f>IF(D39&lt;&gt;"active","check status",IF(G39&gt;40,"Check OT",IF(ABS(Q39)&gt;15%,"check variance","OK")))</f>
        <v>OK</v>
      </c>
    </row>
    <row r="40" spans="1:18" s="11" customFormat="1">
      <c r="A40" s="11" t="s">
        <v>96</v>
      </c>
      <c r="B40" s="11" t="str">
        <f>IFERROR(VLOOKUP(A40,Employee_Master!$A$4:$I$63,2,FALSE),0)</f>
        <v>Employee 038</v>
      </c>
      <c r="C40" s="11" t="str">
        <f>IFERROR(VLOOKUP(A40,Employee_Master!$A$4:$I$63,3,FALSE),0)</f>
        <v>Quality Control</v>
      </c>
      <c r="D40" s="11" t="str">
        <f>IFERROR(VLOOKUP(A40,Employee_Master!$A$4:$I$63,4,FALSE),0)</f>
        <v>Active</v>
      </c>
      <c r="E40" s="12">
        <f>IFERROR(VLOOKUP(A40,Employee_Master!$A$4:$I$63,7,FALSE),0)</f>
        <v>5500000</v>
      </c>
      <c r="F40" s="12">
        <f>IFERROR(VLOOKUP(A40,Employee_Master!$A$4:$I$63,8,FALSE),0)</f>
        <v>700000</v>
      </c>
      <c r="G40" s="11">
        <f>IFERROR(VLOOKUP(A40,Attendance_Current!$A$4:$F$63,5,FALSE),0)</f>
        <v>8</v>
      </c>
      <c r="H40" s="12">
        <f>IFERROR(VLOOKUP(A40,Employee_Master!$A$4:$I$63,9,FALSE),0)</f>
        <v>45000</v>
      </c>
      <c r="I40" s="12">
        <f>H40*G40</f>
        <v>360000</v>
      </c>
      <c r="J40" s="11">
        <f>IFERROR(VLOOKUP(A40,Attendance_Current!$A$4:$F$63,3,FALSE),0)</f>
        <v>0</v>
      </c>
      <c r="K40" s="12">
        <f>IF(J40=0,250000,0)</f>
        <v>250000</v>
      </c>
      <c r="L40" s="12">
        <f>IFERROR(VLOOKUP(A40,Prior_Month_Payroll!$A$4:$I$63,7,FALSE),0)</f>
        <v>0</v>
      </c>
      <c r="M40" s="12">
        <f>SUM(E40:F40,I40,K40)</f>
        <v>6810000</v>
      </c>
      <c r="N40" s="12">
        <f>M40-L40</f>
        <v>6810000</v>
      </c>
      <c r="O40" s="12">
        <f>IFERROR(VLOOKUP(A40,Prior_Month_Payroll!$A$4:$I$63,9,FALSE),0)</f>
        <v>6765000</v>
      </c>
      <c r="P40" s="12">
        <f>N40-O40</f>
        <v>45000</v>
      </c>
      <c r="Q40" s="13">
        <f>IFERROR(P40/O40,0)</f>
        <v>6.6518847006651885E-3</v>
      </c>
      <c r="R40" s="11" t="str">
        <f>IF(D40&lt;&gt;"active","check status",IF(G40&gt;40,"Check OT",IF(ABS(Q40)&gt;15%,"check variance","OK")))</f>
        <v>OK</v>
      </c>
    </row>
    <row r="41" spans="1:18" s="11" customFormat="1">
      <c r="A41" s="11" t="s">
        <v>98</v>
      </c>
      <c r="B41" s="11" t="str">
        <f>IFERROR(VLOOKUP(A41,Employee_Master!$A$4:$I$63,2,FALSE),0)</f>
        <v>Employee 039</v>
      </c>
      <c r="C41" s="11" t="str">
        <f>IFERROR(VLOOKUP(A41,Employee_Master!$A$4:$I$63,3,FALSE),0)</f>
        <v>Warehouse</v>
      </c>
      <c r="D41" s="11" t="str">
        <f>IFERROR(VLOOKUP(A41,Employee_Master!$A$4:$I$63,4,FALSE),0)</f>
        <v>Active</v>
      </c>
      <c r="E41" s="12">
        <f>IFERROR(VLOOKUP(A41,Employee_Master!$A$4:$I$63,7,FALSE),0)</f>
        <v>6500000</v>
      </c>
      <c r="F41" s="12">
        <f>IFERROR(VLOOKUP(A41,Employee_Master!$A$4:$I$63,8,FALSE),0)</f>
        <v>950000</v>
      </c>
      <c r="G41" s="11">
        <f>IFERROR(VLOOKUP(A41,Attendance_Current!$A$4:$F$63,5,FALSE),0)</f>
        <v>13</v>
      </c>
      <c r="H41" s="12">
        <f>IFERROR(VLOOKUP(A41,Employee_Master!$A$4:$I$63,9,FALSE),0)</f>
        <v>55000</v>
      </c>
      <c r="I41" s="12">
        <f>H41*G41</f>
        <v>715000</v>
      </c>
      <c r="J41" s="11">
        <f>IFERROR(VLOOKUP(A41,Attendance_Current!$A$4:$F$63,3,FALSE),0)</f>
        <v>0</v>
      </c>
      <c r="K41" s="12">
        <f>IF(J41=0,250000,0)</f>
        <v>250000</v>
      </c>
      <c r="L41" s="12">
        <f>IFERROR(VLOOKUP(A41,Prior_Month_Payroll!$A$4:$I$63,7,FALSE),0)</f>
        <v>75000</v>
      </c>
      <c r="M41" s="12">
        <f>SUM(E41:F41,I41,K41)</f>
        <v>8415000</v>
      </c>
      <c r="N41" s="12">
        <f>M41-L41</f>
        <v>8340000</v>
      </c>
      <c r="O41" s="12">
        <f>IFERROR(VLOOKUP(A41,Prior_Month_Payroll!$A$4:$I$63,9,FALSE),0)</f>
        <v>8230000</v>
      </c>
      <c r="P41" s="12">
        <f>N41-O41</f>
        <v>110000</v>
      </c>
      <c r="Q41" s="13">
        <f>IFERROR(P41/O41,0)</f>
        <v>1.3365735115431349E-2</v>
      </c>
      <c r="R41" s="11" t="str">
        <f>IF(D41&lt;&gt;"active","check status",IF(G41&gt;40,"Check OT",IF(ABS(Q41)&gt;15%,"check variance","OK")))</f>
        <v>OK</v>
      </c>
    </row>
    <row r="42" spans="1:18" s="11" customFormat="1">
      <c r="A42" s="11" t="s">
        <v>100</v>
      </c>
      <c r="B42" s="11" t="str">
        <f>IFERROR(VLOOKUP(A42,Employee_Master!$A$4:$I$63,2,FALSE),0)</f>
        <v>Employee 040</v>
      </c>
      <c r="C42" s="11" t="str">
        <f>IFERROR(VLOOKUP(A42,Employee_Master!$A$4:$I$63,3,FALSE),0)</f>
        <v>Engineering</v>
      </c>
      <c r="D42" s="11" t="str">
        <f>IFERROR(VLOOKUP(A42,Employee_Master!$A$4:$I$63,4,FALSE),0)</f>
        <v>Active</v>
      </c>
      <c r="E42" s="12">
        <f>IFERROR(VLOOKUP(A42,Employee_Master!$A$4:$I$63,7,FALSE),0)</f>
        <v>8150000</v>
      </c>
      <c r="F42" s="12">
        <f>IFERROR(VLOOKUP(A42,Employee_Master!$A$4:$I$63,8,FALSE),0)</f>
        <v>1200000</v>
      </c>
      <c r="G42" s="11">
        <f>IFERROR(VLOOKUP(A42,Attendance_Current!$A$4:$F$63,5,FALSE),0)</f>
        <v>18</v>
      </c>
      <c r="H42" s="12">
        <f>IFERROR(VLOOKUP(A42,Employee_Master!$A$4:$I$63,9,FALSE),0)</f>
        <v>70000</v>
      </c>
      <c r="I42" s="12">
        <f>H42*G42</f>
        <v>1260000</v>
      </c>
      <c r="J42" s="11">
        <f>IFERROR(VLOOKUP(A42,Attendance_Current!$A$4:$F$63,3,FALSE),0)</f>
        <v>0</v>
      </c>
      <c r="K42" s="12">
        <f>IF(J42=0,250000,0)</f>
        <v>250000</v>
      </c>
      <c r="L42" s="12">
        <f>IFERROR(VLOOKUP(A42,Prior_Month_Payroll!$A$4:$I$63,7,FALSE),0)</f>
        <v>0</v>
      </c>
      <c r="M42" s="12">
        <f>SUM(E42:F42,I42,K42)</f>
        <v>10860000</v>
      </c>
      <c r="N42" s="12">
        <f>M42-L42</f>
        <v>10860000</v>
      </c>
      <c r="O42" s="12">
        <f>IFERROR(VLOOKUP(A42,Prior_Month_Payroll!$A$4:$I$63,9,FALSE),0)</f>
        <v>10650000</v>
      </c>
      <c r="P42" s="12">
        <f>N42-O42</f>
        <v>210000</v>
      </c>
      <c r="Q42" s="13">
        <f>IFERROR(P42/O42,0)</f>
        <v>1.9718309859154931E-2</v>
      </c>
      <c r="R42" s="11" t="str">
        <f>IF(D42&lt;&gt;"active","check status",IF(G42&gt;40,"Check OT",IF(ABS(Q42)&gt;15%,"check variance","OK")))</f>
        <v>OK</v>
      </c>
    </row>
    <row r="43" spans="1:18" s="11" customFormat="1">
      <c r="A43" s="11" t="s">
        <v>102</v>
      </c>
      <c r="B43" s="11" t="str">
        <f>IFERROR(VLOOKUP(A43,Employee_Master!$A$4:$I$63,2,FALSE),0)</f>
        <v>Employee 041</v>
      </c>
      <c r="C43" s="11" t="str">
        <f>IFERROR(VLOOKUP(A43,Employee_Master!$A$4:$I$63,3,FALSE),0)</f>
        <v>Finance</v>
      </c>
      <c r="D43" s="11" t="str">
        <f>IFERROR(VLOOKUP(A43,Employee_Master!$A$4:$I$63,4,FALSE),0)</f>
        <v>Active</v>
      </c>
      <c r="E43" s="12">
        <f>IFERROR(VLOOKUP(A43,Employee_Master!$A$4:$I$63,7,FALSE),0)</f>
        <v>4500000</v>
      </c>
      <c r="F43" s="12">
        <f>IFERROR(VLOOKUP(A43,Employee_Master!$A$4:$I$63,8,FALSE),0)</f>
        <v>500000</v>
      </c>
      <c r="G43" s="11">
        <f>IFERROR(VLOOKUP(A43,Attendance_Current!$A$4:$F$63,5,FALSE),0)</f>
        <v>23</v>
      </c>
      <c r="H43" s="12">
        <f>IFERROR(VLOOKUP(A43,Employee_Master!$A$4:$I$63,9,FALSE),0)</f>
        <v>35000</v>
      </c>
      <c r="I43" s="12">
        <f>H43*G43</f>
        <v>805000</v>
      </c>
      <c r="J43" s="11">
        <f>IFERROR(VLOOKUP(A43,Attendance_Current!$A$4:$F$63,3,FALSE),0)</f>
        <v>0</v>
      </c>
      <c r="K43" s="12">
        <f>IF(J43=0,250000,0)</f>
        <v>250000</v>
      </c>
      <c r="L43" s="12">
        <f>IFERROR(VLOOKUP(A43,Prior_Month_Payroll!$A$4:$I$63,7,FALSE),0)</f>
        <v>75000</v>
      </c>
      <c r="M43" s="12">
        <f>SUM(E43:F43,I43,K43)</f>
        <v>6055000</v>
      </c>
      <c r="N43" s="12">
        <f>M43-L43</f>
        <v>5980000</v>
      </c>
      <c r="O43" s="12">
        <f>IFERROR(VLOOKUP(A43,Prior_Month_Payroll!$A$4:$I$63,9,FALSE),0)</f>
        <v>5980000</v>
      </c>
      <c r="P43" s="12">
        <f>N43-O43</f>
        <v>0</v>
      </c>
      <c r="Q43" s="13">
        <f>IFERROR(P43/O43,0)</f>
        <v>0</v>
      </c>
      <c r="R43" s="11" t="str">
        <f>IF(D43&lt;&gt;"active","check status",IF(G43&gt;40,"Check OT",IF(ABS(Q43)&gt;15%,"check variance","OK")))</f>
        <v>OK</v>
      </c>
    </row>
    <row r="44" spans="1:18" s="11" customFormat="1">
      <c r="A44" s="11" t="s">
        <v>104</v>
      </c>
      <c r="B44" s="11" t="str">
        <f>IFERROR(VLOOKUP(A44,Employee_Master!$A$4:$I$63,2,FALSE),0)</f>
        <v>Employee 042</v>
      </c>
      <c r="C44" s="11" t="str">
        <f>IFERROR(VLOOKUP(A44,Employee_Master!$A$4:$I$63,3,FALSE),0)</f>
        <v>HR</v>
      </c>
      <c r="D44" s="11" t="str">
        <f>IFERROR(VLOOKUP(A44,Employee_Master!$A$4:$I$63,4,FALSE),0)</f>
        <v>Active</v>
      </c>
      <c r="E44" s="12">
        <f>IFERROR(VLOOKUP(A44,Employee_Master!$A$4:$I$63,7,FALSE),0)</f>
        <v>5200000</v>
      </c>
      <c r="F44" s="12">
        <f>IFERROR(VLOOKUP(A44,Employee_Master!$A$4:$I$63,8,FALSE),0)</f>
        <v>700000</v>
      </c>
      <c r="G44" s="11">
        <f>IFERROR(VLOOKUP(A44,Attendance_Current!$A$4:$F$63,5,FALSE),0)</f>
        <v>2</v>
      </c>
      <c r="H44" s="12">
        <f>IFERROR(VLOOKUP(A44,Employee_Master!$A$4:$I$63,9,FALSE),0)</f>
        <v>45000</v>
      </c>
      <c r="I44" s="12">
        <f>H44*G44</f>
        <v>90000</v>
      </c>
      <c r="J44" s="11">
        <f>IFERROR(VLOOKUP(A44,Attendance_Current!$A$4:$F$63,3,FALSE),0)</f>
        <v>1</v>
      </c>
      <c r="K44" s="12">
        <f>IF(J44=0,250000,0)</f>
        <v>0</v>
      </c>
      <c r="L44" s="12">
        <f>IFERROR(VLOOKUP(A44,Prior_Month_Payroll!$A$4:$I$63,7,FALSE),0)</f>
        <v>100000</v>
      </c>
      <c r="M44" s="12">
        <f>SUM(E44:F44,I44,K44)</f>
        <v>5990000</v>
      </c>
      <c r="N44" s="12">
        <f>M44-L44</f>
        <v>5890000</v>
      </c>
      <c r="O44" s="12">
        <f>IFERROR(VLOOKUP(A44,Prior_Month_Payroll!$A$4:$I$63,9,FALSE),0)</f>
        <v>5845000</v>
      </c>
      <c r="P44" s="12">
        <f>N44-O44</f>
        <v>45000</v>
      </c>
      <c r="Q44" s="13">
        <f>IFERROR(P44/O44,0)</f>
        <v>7.6988879384088963E-3</v>
      </c>
      <c r="R44" s="11" t="str">
        <f>IF(D44&lt;&gt;"active","check status",IF(G44&gt;40,"Check OT",IF(ABS(Q44)&gt;15%,"check variance","OK")))</f>
        <v>OK</v>
      </c>
    </row>
    <row r="45" spans="1:18" s="11" customFormat="1">
      <c r="A45" s="11" t="s">
        <v>106</v>
      </c>
      <c r="B45" s="11" t="str">
        <f>IFERROR(VLOOKUP(A45,Employee_Master!$A$4:$I$63,2,FALSE),0)</f>
        <v>Employee 043</v>
      </c>
      <c r="C45" s="11" t="str">
        <f>IFERROR(VLOOKUP(A45,Employee_Master!$A$4:$I$63,3,FALSE),0)</f>
        <v>Production</v>
      </c>
      <c r="D45" s="11" t="str">
        <f>IFERROR(VLOOKUP(A45,Employee_Master!$A$4:$I$63,4,FALSE),0)</f>
        <v>Active</v>
      </c>
      <c r="E45" s="12">
        <f>IFERROR(VLOOKUP(A45,Employee_Master!$A$4:$I$63,7,FALSE),0)</f>
        <v>6650000</v>
      </c>
      <c r="F45" s="12">
        <f>IFERROR(VLOOKUP(A45,Employee_Master!$A$4:$I$63,8,FALSE),0)</f>
        <v>950000</v>
      </c>
      <c r="G45" s="11">
        <f>IFERROR(VLOOKUP(A45,Attendance_Current!$A$4:$F$63,5,FALSE),0)</f>
        <v>7</v>
      </c>
      <c r="H45" s="12">
        <f>IFERROR(VLOOKUP(A45,Employee_Master!$A$4:$I$63,9,FALSE),0)</f>
        <v>55000</v>
      </c>
      <c r="I45" s="12">
        <f>H45*G45</f>
        <v>385000</v>
      </c>
      <c r="J45" s="11">
        <f>IFERROR(VLOOKUP(A45,Attendance_Current!$A$4:$F$63,3,FALSE),0)</f>
        <v>0</v>
      </c>
      <c r="K45" s="12">
        <f>IF(J45=0,250000,0)</f>
        <v>250000</v>
      </c>
      <c r="L45" s="12">
        <f>IFERROR(VLOOKUP(A45,Prior_Month_Payroll!$A$4:$I$63,7,FALSE),0)</f>
        <v>75000</v>
      </c>
      <c r="M45" s="12">
        <f>SUM(E45:F45,I45,K45)</f>
        <v>8235000</v>
      </c>
      <c r="N45" s="12">
        <f>M45-L45</f>
        <v>8160000</v>
      </c>
      <c r="O45" s="12">
        <f>IFERROR(VLOOKUP(A45,Prior_Month_Payroll!$A$4:$I$63,9,FALSE),0)</f>
        <v>8050000</v>
      </c>
      <c r="P45" s="12">
        <f>N45-O45</f>
        <v>110000</v>
      </c>
      <c r="Q45" s="13">
        <f>IFERROR(P45/O45,0)</f>
        <v>1.3664596273291925E-2</v>
      </c>
      <c r="R45" s="11" t="str">
        <f>IF(D45&lt;&gt;"active","check status",IF(G45&gt;40,"Check OT",IF(ABS(Q45)&gt;15%,"check variance","OK")))</f>
        <v>OK</v>
      </c>
    </row>
    <row r="46" spans="1:18" s="11" customFormat="1">
      <c r="A46" s="11" t="s">
        <v>108</v>
      </c>
      <c r="B46" s="11" t="str">
        <f>IFERROR(VLOOKUP(A46,Employee_Master!$A$4:$I$63,2,FALSE),0)</f>
        <v>Employee 044</v>
      </c>
      <c r="C46" s="11" t="str">
        <f>IFERROR(VLOOKUP(A46,Employee_Master!$A$4:$I$63,3,FALSE),0)</f>
        <v>Quality Control</v>
      </c>
      <c r="D46" s="11" t="str">
        <f>IFERROR(VLOOKUP(A46,Employee_Master!$A$4:$I$63,4,FALSE),0)</f>
        <v>Active</v>
      </c>
      <c r="E46" s="12">
        <f>IFERROR(VLOOKUP(A46,Employee_Master!$A$4:$I$63,7,FALSE),0)</f>
        <v>8300000</v>
      </c>
      <c r="F46" s="12">
        <f>IFERROR(VLOOKUP(A46,Employee_Master!$A$4:$I$63,8,FALSE),0)</f>
        <v>1200000</v>
      </c>
      <c r="G46" s="11">
        <f>IFERROR(VLOOKUP(A46,Attendance_Current!$A$4:$F$63,5,FALSE),0)</f>
        <v>12</v>
      </c>
      <c r="H46" s="12">
        <f>IFERROR(VLOOKUP(A46,Employee_Master!$A$4:$I$63,9,FALSE),0)</f>
        <v>70000</v>
      </c>
      <c r="I46" s="12">
        <f>H46*G46</f>
        <v>840000</v>
      </c>
      <c r="J46" s="11">
        <f>IFERROR(VLOOKUP(A46,Attendance_Current!$A$4:$F$63,3,FALSE),0)</f>
        <v>0</v>
      </c>
      <c r="K46" s="12">
        <f>IF(J46=0,250000,0)</f>
        <v>250000</v>
      </c>
      <c r="L46" s="12">
        <f>IFERROR(VLOOKUP(A46,Prior_Month_Payroll!$A$4:$I$63,7,FALSE),0)</f>
        <v>0</v>
      </c>
      <c r="M46" s="12">
        <f>SUM(E46:F46,I46,K46)</f>
        <v>10590000</v>
      </c>
      <c r="N46" s="12">
        <f>M46-L46</f>
        <v>10590000</v>
      </c>
      <c r="O46" s="12">
        <f>IFERROR(VLOOKUP(A46,Prior_Month_Payroll!$A$4:$I$63,9,FALSE),0)</f>
        <v>10380000</v>
      </c>
      <c r="P46" s="12">
        <f>N46-O46</f>
        <v>210000</v>
      </c>
      <c r="Q46" s="13">
        <f>IFERROR(P46/O46,0)</f>
        <v>2.023121387283237E-2</v>
      </c>
      <c r="R46" s="11" t="str">
        <f>IF(D46&lt;&gt;"active","check status",IF(G46&gt;40,"Check OT",IF(ABS(Q46)&gt;15%,"check variance","OK")))</f>
        <v>OK</v>
      </c>
    </row>
    <row r="47" spans="1:18" s="11" customFormat="1">
      <c r="A47" s="11" t="s">
        <v>110</v>
      </c>
      <c r="B47" s="11" t="str">
        <f>IFERROR(VLOOKUP(A47,Employee_Master!$A$4:$I$63,2,FALSE),0)</f>
        <v>Employee 045</v>
      </c>
      <c r="C47" s="11" t="str">
        <f>IFERROR(VLOOKUP(A47,Employee_Master!$A$4:$I$63,3,FALSE),0)</f>
        <v>Warehouse</v>
      </c>
      <c r="D47" s="11" t="str">
        <f>IFERROR(VLOOKUP(A47,Employee_Master!$A$4:$I$63,4,FALSE),0)</f>
        <v>Active</v>
      </c>
      <c r="E47" s="12">
        <f>IFERROR(VLOOKUP(A47,Employee_Master!$A$4:$I$63,7,FALSE),0)</f>
        <v>4200000</v>
      </c>
      <c r="F47" s="12">
        <f>IFERROR(VLOOKUP(A47,Employee_Master!$A$4:$I$63,8,FALSE),0)</f>
        <v>500000</v>
      </c>
      <c r="G47" s="11">
        <f>IFERROR(VLOOKUP(A47,Attendance_Current!$A$4:$F$63,5,FALSE),0)</f>
        <v>17</v>
      </c>
      <c r="H47" s="12">
        <f>IFERROR(VLOOKUP(A47,Employee_Master!$A$4:$I$63,9,FALSE),0)</f>
        <v>35000</v>
      </c>
      <c r="I47" s="12">
        <f>H47*G47</f>
        <v>595000</v>
      </c>
      <c r="J47" s="11">
        <f>IFERROR(VLOOKUP(A47,Attendance_Current!$A$4:$F$63,3,FALSE),0)</f>
        <v>0</v>
      </c>
      <c r="K47" s="12">
        <f>IF(J47=0,250000,0)</f>
        <v>250000</v>
      </c>
      <c r="L47" s="12">
        <f>IFERROR(VLOOKUP(A47,Prior_Month_Payroll!$A$4:$I$63,7,FALSE),0)</f>
        <v>75000</v>
      </c>
      <c r="M47" s="12">
        <f>SUM(E47:F47,I47,K47)</f>
        <v>5545000</v>
      </c>
      <c r="N47" s="12">
        <f>M47-L47</f>
        <v>5470000</v>
      </c>
      <c r="O47" s="12">
        <f>IFERROR(VLOOKUP(A47,Prior_Month_Payroll!$A$4:$I$63,9,FALSE),0)</f>
        <v>5470000</v>
      </c>
      <c r="P47" s="12">
        <f>N47-O47</f>
        <v>0</v>
      </c>
      <c r="Q47" s="13">
        <f>IFERROR(P47/O47,0)</f>
        <v>0</v>
      </c>
      <c r="R47" s="11" t="str">
        <f>IF(D47&lt;&gt;"active","check status",IF(G47&gt;40,"Check OT",IF(ABS(Q47)&gt;15%,"check variance","OK")))</f>
        <v>OK</v>
      </c>
    </row>
    <row r="48" spans="1:18" s="11" customFormat="1">
      <c r="A48" s="11" t="s">
        <v>112</v>
      </c>
      <c r="B48" s="11" t="str">
        <f>IFERROR(VLOOKUP(A48,Employee_Master!$A$4:$I$63,2,FALSE),0)</f>
        <v>Employee 046</v>
      </c>
      <c r="C48" s="11" t="str">
        <f>IFERROR(VLOOKUP(A48,Employee_Master!$A$4:$I$63,3,FALSE),0)</f>
        <v>Engineering</v>
      </c>
      <c r="D48" s="11" t="str">
        <f>IFERROR(VLOOKUP(A48,Employee_Master!$A$4:$I$63,4,FALSE),0)</f>
        <v>Active</v>
      </c>
      <c r="E48" s="12">
        <f>IFERROR(VLOOKUP(A48,Employee_Master!$A$4:$I$63,7,FALSE),0)</f>
        <v>5350000</v>
      </c>
      <c r="F48" s="12">
        <f>IFERROR(VLOOKUP(A48,Employee_Master!$A$4:$I$63,8,FALSE),0)</f>
        <v>700000</v>
      </c>
      <c r="G48" s="11">
        <f>IFERROR(VLOOKUP(A48,Attendance_Current!$A$4:$F$63,5,FALSE),0)</f>
        <v>22</v>
      </c>
      <c r="H48" s="12">
        <f>IFERROR(VLOOKUP(A48,Employee_Master!$A$4:$I$63,9,FALSE),0)</f>
        <v>45000</v>
      </c>
      <c r="I48" s="12">
        <f>H48*G48</f>
        <v>990000</v>
      </c>
      <c r="J48" s="11">
        <f>IFERROR(VLOOKUP(A48,Attendance_Current!$A$4:$F$63,3,FALSE),0)</f>
        <v>0</v>
      </c>
      <c r="K48" s="12">
        <f>IF(J48=0,250000,0)</f>
        <v>250000</v>
      </c>
      <c r="L48" s="12">
        <f>IFERROR(VLOOKUP(A48,Prior_Month_Payroll!$A$4:$I$63,7,FALSE),0)</f>
        <v>0</v>
      </c>
      <c r="M48" s="12">
        <f>SUM(E48:F48,I48,K48)</f>
        <v>7290000</v>
      </c>
      <c r="N48" s="12">
        <f>M48-L48</f>
        <v>7290000</v>
      </c>
      <c r="O48" s="12">
        <f>IFERROR(VLOOKUP(A48,Prior_Month_Payroll!$A$4:$I$63,9,FALSE),0)</f>
        <v>7245000</v>
      </c>
      <c r="P48" s="12">
        <f>N48-O48</f>
        <v>45000</v>
      </c>
      <c r="Q48" s="13">
        <f>IFERROR(P48/O48,0)</f>
        <v>6.2111801242236021E-3</v>
      </c>
      <c r="R48" s="11" t="str">
        <f>IF(D48&lt;&gt;"active","check status",IF(G48&gt;40,"Check OT",IF(ABS(Q48)&gt;15%,"check variance","OK")))</f>
        <v>OK</v>
      </c>
    </row>
    <row r="49" spans="1:18" s="11" customFormat="1">
      <c r="A49" s="11" t="s">
        <v>114</v>
      </c>
      <c r="B49" s="11" t="str">
        <f>IFERROR(VLOOKUP(A49,Employee_Master!$A$4:$I$63,2,FALSE),0)</f>
        <v>Employee 047</v>
      </c>
      <c r="C49" s="11" t="str">
        <f>IFERROR(VLOOKUP(A49,Employee_Master!$A$4:$I$63,3,FALSE),0)</f>
        <v>Finance</v>
      </c>
      <c r="D49" s="11" t="str">
        <f>IFERROR(VLOOKUP(A49,Employee_Master!$A$4:$I$63,4,FALSE),0)</f>
        <v>Active</v>
      </c>
      <c r="E49" s="12">
        <f>IFERROR(VLOOKUP(A49,Employee_Master!$A$4:$I$63,7,FALSE),0)</f>
        <v>6800000</v>
      </c>
      <c r="F49" s="12">
        <f>IFERROR(VLOOKUP(A49,Employee_Master!$A$4:$I$63,8,FALSE),0)</f>
        <v>950000</v>
      </c>
      <c r="G49" s="11">
        <f>IFERROR(VLOOKUP(A49,Attendance_Current!$A$4:$F$63,5,FALSE),0)</f>
        <v>1</v>
      </c>
      <c r="H49" s="12">
        <f>IFERROR(VLOOKUP(A49,Employee_Master!$A$4:$I$63,9,FALSE),0)</f>
        <v>55000</v>
      </c>
      <c r="I49" s="12">
        <f>H49*G49</f>
        <v>55000</v>
      </c>
      <c r="J49" s="11">
        <f>IFERROR(VLOOKUP(A49,Attendance_Current!$A$4:$F$63,3,FALSE),0)</f>
        <v>0</v>
      </c>
      <c r="K49" s="12">
        <f>IF(J49=0,250000,0)</f>
        <v>250000</v>
      </c>
      <c r="L49" s="12">
        <f>IFERROR(VLOOKUP(A49,Prior_Month_Payroll!$A$4:$I$63,7,FALSE),0)</f>
        <v>75000</v>
      </c>
      <c r="M49" s="12">
        <f>SUM(E49:F49,I49,K49)</f>
        <v>8055000</v>
      </c>
      <c r="N49" s="12">
        <f>M49-L49</f>
        <v>7980000</v>
      </c>
      <c r="O49" s="12">
        <f>IFERROR(VLOOKUP(A49,Prior_Month_Payroll!$A$4:$I$63,9,FALSE),0)</f>
        <v>7925000</v>
      </c>
      <c r="P49" s="12">
        <f>N49-O49</f>
        <v>55000</v>
      </c>
      <c r="Q49" s="13">
        <f>IFERROR(P49/O49,0)</f>
        <v>6.9400630914826502E-3</v>
      </c>
      <c r="R49" s="11" t="str">
        <f>IF(D49&lt;&gt;"active","check status",IF(G49&gt;40,"Check OT",IF(ABS(Q49)&gt;15%,"check variance","OK")))</f>
        <v>OK</v>
      </c>
    </row>
    <row r="50" spans="1:18" s="11" customFormat="1">
      <c r="A50" s="11" t="s">
        <v>116</v>
      </c>
      <c r="B50" s="11" t="str">
        <f>IFERROR(VLOOKUP(A50,Employee_Master!$A$4:$I$63,2,FALSE),0)</f>
        <v>Employee 048</v>
      </c>
      <c r="C50" s="11" t="str">
        <f>IFERROR(VLOOKUP(A50,Employee_Master!$A$4:$I$63,3,FALSE),0)</f>
        <v>HR</v>
      </c>
      <c r="D50" s="11" t="str">
        <f>IFERROR(VLOOKUP(A50,Employee_Master!$A$4:$I$63,4,FALSE),0)</f>
        <v>Active</v>
      </c>
      <c r="E50" s="12">
        <f>IFERROR(VLOOKUP(A50,Employee_Master!$A$4:$I$63,7,FALSE),0)</f>
        <v>8000000</v>
      </c>
      <c r="F50" s="12">
        <f>IFERROR(VLOOKUP(A50,Employee_Master!$A$4:$I$63,8,FALSE),0)</f>
        <v>1200000</v>
      </c>
      <c r="G50" s="11">
        <f>IFERROR(VLOOKUP(A50,Attendance_Current!$A$4:$F$63,5,FALSE),0)</f>
        <v>6</v>
      </c>
      <c r="H50" s="12">
        <f>IFERROR(VLOOKUP(A50,Employee_Master!$A$4:$I$63,9,FALSE),0)</f>
        <v>70000</v>
      </c>
      <c r="I50" s="12">
        <f>H50*G50</f>
        <v>420000</v>
      </c>
      <c r="J50" s="11">
        <f>IFERROR(VLOOKUP(A50,Attendance_Current!$A$4:$F$63,3,FALSE),0)</f>
        <v>0</v>
      </c>
      <c r="K50" s="12">
        <f>IF(J50=0,250000,0)</f>
        <v>250000</v>
      </c>
      <c r="L50" s="12">
        <f>IFERROR(VLOOKUP(A50,Prior_Month_Payroll!$A$4:$I$63,7,FALSE),0)</f>
        <v>0</v>
      </c>
      <c r="M50" s="12">
        <f>SUM(E50:F50,I50,K50)</f>
        <v>9870000</v>
      </c>
      <c r="N50" s="12">
        <f>M50-L50</f>
        <v>9870000</v>
      </c>
      <c r="O50" s="12">
        <f>IFERROR(VLOOKUP(A50,Prior_Month_Payroll!$A$4:$I$63,9,FALSE),0)</f>
        <v>9660000</v>
      </c>
      <c r="P50" s="12">
        <f>N50-O50</f>
        <v>210000</v>
      </c>
      <c r="Q50" s="13">
        <f>IFERROR(P50/O50,0)</f>
        <v>2.1739130434782608E-2</v>
      </c>
      <c r="R50" s="11" t="str">
        <f>IF(D50&lt;&gt;"active","check status",IF(G50&gt;40,"Check OT",IF(ABS(Q50)&gt;15%,"check variance","OK")))</f>
        <v>OK</v>
      </c>
    </row>
    <row r="51" spans="1:18" s="11" customFormat="1">
      <c r="A51" s="11" t="s">
        <v>118</v>
      </c>
      <c r="B51" s="11" t="str">
        <f>IFERROR(VLOOKUP(A51,Employee_Master!$A$4:$I$63,2,FALSE),0)</f>
        <v>Employee 049</v>
      </c>
      <c r="C51" s="11" t="str">
        <f>IFERROR(VLOOKUP(A51,Employee_Master!$A$4:$I$63,3,FALSE),0)</f>
        <v>Production</v>
      </c>
      <c r="D51" s="11" t="str">
        <f>IFERROR(VLOOKUP(A51,Employee_Master!$A$4:$I$63,4,FALSE),0)</f>
        <v>New Joiner</v>
      </c>
      <c r="E51" s="12">
        <f>IFERROR(VLOOKUP(A51,Employee_Master!$A$4:$I$63,7,FALSE),0)</f>
        <v>4350000</v>
      </c>
      <c r="F51" s="12">
        <f>IFERROR(VLOOKUP(A51,Employee_Master!$A$4:$I$63,8,FALSE),0)</f>
        <v>500000</v>
      </c>
      <c r="G51" s="11">
        <f>IFERROR(VLOOKUP(A51,Attendance_Current!$A$4:$F$63,5,FALSE),0)</f>
        <v>4</v>
      </c>
      <c r="H51" s="12">
        <f>IFERROR(VLOOKUP(A51,Employee_Master!$A$4:$I$63,9,FALSE),0)</f>
        <v>35000</v>
      </c>
      <c r="I51" s="12">
        <f>H51*G51</f>
        <v>140000</v>
      </c>
      <c r="J51" s="11">
        <f>IFERROR(VLOOKUP(A51,Attendance_Current!$A$4:$F$63,3,FALSE),0)</f>
        <v>0</v>
      </c>
      <c r="K51" s="12">
        <f>IF(J51=0,250000,0)</f>
        <v>250000</v>
      </c>
      <c r="L51" s="12">
        <f>IFERROR(VLOOKUP(A51,Prior_Month_Payroll!$A$4:$I$63,7,FALSE),0)</f>
        <v>75000</v>
      </c>
      <c r="M51" s="12">
        <f>SUM(E51:F51,I51,K51)</f>
        <v>5240000</v>
      </c>
      <c r="N51" s="12">
        <f>M51-L51</f>
        <v>5165000</v>
      </c>
      <c r="O51" s="12">
        <f>IFERROR(VLOOKUP(A51,Prior_Month_Payroll!$A$4:$I$63,9,FALSE),0)</f>
        <v>5165000</v>
      </c>
      <c r="P51" s="12">
        <f>N51-O51</f>
        <v>0</v>
      </c>
      <c r="Q51" s="13">
        <f>IFERROR(P51/O51,0)</f>
        <v>0</v>
      </c>
      <c r="R51" s="11" t="str">
        <f>IF(D51&lt;&gt;"active","check status",IF(G51&gt;40,"Check OT",IF(ABS(Q51)&gt;15%,"check variance","OK")))</f>
        <v>check status</v>
      </c>
    </row>
    <row r="52" spans="1:18" s="11" customFormat="1">
      <c r="A52" s="11" t="s">
        <v>121</v>
      </c>
      <c r="B52" s="11" t="str">
        <f>IFERROR(VLOOKUP(A52,Employee_Master!$A$4:$I$63,2,FALSE),0)</f>
        <v>Employee 050</v>
      </c>
      <c r="C52" s="11" t="str">
        <f>IFERROR(VLOOKUP(A52,Employee_Master!$A$4:$I$63,3,FALSE),0)</f>
        <v>Quality Control</v>
      </c>
      <c r="D52" s="11" t="str">
        <f>IFERROR(VLOOKUP(A52,Employee_Master!$A$4:$I$63,4,FALSE),0)</f>
        <v>Active</v>
      </c>
      <c r="E52" s="12">
        <f>IFERROR(VLOOKUP(A52,Employee_Master!$A$4:$I$63,7,FALSE),0)</f>
        <v>5500000</v>
      </c>
      <c r="F52" s="12">
        <f>IFERROR(VLOOKUP(A52,Employee_Master!$A$4:$I$63,8,FALSE),0)</f>
        <v>700000</v>
      </c>
      <c r="G52" s="11">
        <f>IFERROR(VLOOKUP(A52,Attendance_Current!$A$4:$F$63,5,FALSE),0)</f>
        <v>16</v>
      </c>
      <c r="H52" s="12">
        <f>IFERROR(VLOOKUP(A52,Employee_Master!$A$4:$I$63,9,FALSE),0)</f>
        <v>45000</v>
      </c>
      <c r="I52" s="12">
        <f>H52*G52</f>
        <v>720000</v>
      </c>
      <c r="J52" s="11">
        <f>IFERROR(VLOOKUP(A52,Attendance_Current!$A$4:$F$63,3,FALSE),0)</f>
        <v>0</v>
      </c>
      <c r="K52" s="12">
        <f>IF(J52=0,250000,0)</f>
        <v>250000</v>
      </c>
      <c r="L52" s="12">
        <f>IFERROR(VLOOKUP(A52,Prior_Month_Payroll!$A$4:$I$63,7,FALSE),0)</f>
        <v>0</v>
      </c>
      <c r="M52" s="12">
        <f>SUM(E52:F52,I52,K52)</f>
        <v>7170000</v>
      </c>
      <c r="N52" s="12">
        <f>M52-L52</f>
        <v>7170000</v>
      </c>
      <c r="O52" s="12">
        <f>IFERROR(VLOOKUP(A52,Prior_Month_Payroll!$A$4:$I$63,9,FALSE),0)</f>
        <v>7125000</v>
      </c>
      <c r="P52" s="12">
        <f>N52-O52</f>
        <v>45000</v>
      </c>
      <c r="Q52" s="13">
        <f>IFERROR(P52/O52,0)</f>
        <v>6.3157894736842104E-3</v>
      </c>
      <c r="R52" s="11" t="str">
        <f>IF(D52&lt;&gt;"active","check status",IF(G52&gt;40,"Check OT",IF(ABS(Q52)&gt;15%,"check variance","OK")))</f>
        <v>OK</v>
      </c>
    </row>
    <row r="53" spans="1:18" s="11" customFormat="1">
      <c r="A53" s="11" t="s">
        <v>123</v>
      </c>
      <c r="B53" s="11" t="str">
        <f>IFERROR(VLOOKUP(A53,Employee_Master!$A$4:$I$63,2,FALSE),0)</f>
        <v>Employee 051</v>
      </c>
      <c r="C53" s="11" t="str">
        <f>IFERROR(VLOOKUP(A53,Employee_Master!$A$4:$I$63,3,FALSE),0)</f>
        <v>Warehouse</v>
      </c>
      <c r="D53" s="11" t="str">
        <f>IFERROR(VLOOKUP(A53,Employee_Master!$A$4:$I$63,4,FALSE),0)</f>
        <v>Active</v>
      </c>
      <c r="E53" s="12">
        <f>IFERROR(VLOOKUP(A53,Employee_Master!$A$4:$I$63,7,FALSE),0)</f>
        <v>6500000</v>
      </c>
      <c r="F53" s="12">
        <f>IFERROR(VLOOKUP(A53,Employee_Master!$A$4:$I$63,8,FALSE),0)</f>
        <v>950000</v>
      </c>
      <c r="G53" s="11">
        <f>IFERROR(VLOOKUP(A53,Attendance_Current!$A$4:$F$63,5,FALSE),0)</f>
        <v>21</v>
      </c>
      <c r="H53" s="12">
        <f>IFERROR(VLOOKUP(A53,Employee_Master!$A$4:$I$63,9,FALSE),0)</f>
        <v>55000</v>
      </c>
      <c r="I53" s="12">
        <f>H53*G53</f>
        <v>1155000</v>
      </c>
      <c r="J53" s="11">
        <f>IFERROR(VLOOKUP(A53,Attendance_Current!$A$4:$F$63,3,FALSE),0)</f>
        <v>0</v>
      </c>
      <c r="K53" s="12">
        <f>IF(J53=0,250000,0)</f>
        <v>250000</v>
      </c>
      <c r="L53" s="12">
        <f>IFERROR(VLOOKUP(A53,Prior_Month_Payroll!$A$4:$I$63,7,FALSE),0)</f>
        <v>75000</v>
      </c>
      <c r="M53" s="12">
        <f>SUM(E53:F53,I53,K53)</f>
        <v>8855000</v>
      </c>
      <c r="N53" s="12">
        <f>M53-L53</f>
        <v>8780000</v>
      </c>
      <c r="O53" s="12">
        <f>IFERROR(VLOOKUP(A53,Prior_Month_Payroll!$A$4:$I$63,9,FALSE),0)</f>
        <v>8670000</v>
      </c>
      <c r="P53" s="12">
        <f>N53-O53</f>
        <v>110000</v>
      </c>
      <c r="Q53" s="13">
        <f>IFERROR(P53/O53,0)</f>
        <v>1.2687427912341407E-2</v>
      </c>
      <c r="R53" s="11" t="str">
        <f>IF(D53&lt;&gt;"active","check status",IF(G53&gt;40,"Check OT",IF(ABS(Q53)&gt;15%,"check variance","OK")))</f>
        <v>OK</v>
      </c>
    </row>
    <row r="54" spans="1:18" s="11" customFormat="1">
      <c r="A54" s="11" t="s">
        <v>125</v>
      </c>
      <c r="B54" s="11" t="str">
        <f>IFERROR(VLOOKUP(A54,Employee_Master!$A$4:$I$63,2,FALSE),0)</f>
        <v>Employee 052</v>
      </c>
      <c r="C54" s="11" t="str">
        <f>IFERROR(VLOOKUP(A54,Employee_Master!$A$4:$I$63,3,FALSE),0)</f>
        <v>Engineering</v>
      </c>
      <c r="D54" s="11" t="str">
        <f>IFERROR(VLOOKUP(A54,Employee_Master!$A$4:$I$63,4,FALSE),0)</f>
        <v>Active</v>
      </c>
      <c r="E54" s="12">
        <f>IFERROR(VLOOKUP(A54,Employee_Master!$A$4:$I$63,7,FALSE),0)</f>
        <v>8150000</v>
      </c>
      <c r="F54" s="12">
        <f>IFERROR(VLOOKUP(A54,Employee_Master!$A$4:$I$63,8,FALSE),0)</f>
        <v>1200000</v>
      </c>
      <c r="G54" s="11">
        <f>IFERROR(VLOOKUP(A54,Attendance_Current!$A$4:$F$63,5,FALSE),0)</f>
        <v>0</v>
      </c>
      <c r="H54" s="12">
        <f>IFERROR(VLOOKUP(A54,Employee_Master!$A$4:$I$63,9,FALSE),0)</f>
        <v>70000</v>
      </c>
      <c r="I54" s="12">
        <f>H54*G54</f>
        <v>0</v>
      </c>
      <c r="J54" s="11">
        <f>IFERROR(VLOOKUP(A54,Attendance_Current!$A$4:$F$63,3,FALSE),0)</f>
        <v>0</v>
      </c>
      <c r="K54" s="12">
        <f>IF(J54=0,250000,0)</f>
        <v>250000</v>
      </c>
      <c r="L54" s="12">
        <f>IFERROR(VLOOKUP(A54,Prior_Month_Payroll!$A$4:$I$63,7,FALSE),0)</f>
        <v>0</v>
      </c>
      <c r="M54" s="12">
        <f>SUM(E54:F54,I54,K54)</f>
        <v>9600000</v>
      </c>
      <c r="N54" s="12">
        <f>M54-L54</f>
        <v>9600000</v>
      </c>
      <c r="O54" s="12">
        <f>IFERROR(VLOOKUP(A54,Prior_Month_Payroll!$A$4:$I$63,9,FALSE),0)</f>
        <v>9600000</v>
      </c>
      <c r="P54" s="12">
        <f>N54-O54</f>
        <v>0</v>
      </c>
      <c r="Q54" s="13">
        <f>IFERROR(P54/O54,0)</f>
        <v>0</v>
      </c>
      <c r="R54" s="11" t="str">
        <f>IF(D54&lt;&gt;"active","check status",IF(G54&gt;40,"Check OT",IF(ABS(Q54)&gt;15%,"check variance","OK")))</f>
        <v>OK</v>
      </c>
    </row>
    <row r="55" spans="1:18" s="11" customFormat="1">
      <c r="A55" s="11" t="s">
        <v>127</v>
      </c>
      <c r="B55" s="11" t="str">
        <f>IFERROR(VLOOKUP(A55,Employee_Master!$A$4:$I$63,2,FALSE),0)</f>
        <v>Employee 053</v>
      </c>
      <c r="C55" s="11" t="str">
        <f>IFERROR(VLOOKUP(A55,Employee_Master!$A$4:$I$63,3,FALSE),0)</f>
        <v>Finance</v>
      </c>
      <c r="D55" s="11" t="str">
        <f>IFERROR(VLOOKUP(A55,Employee_Master!$A$4:$I$63,4,FALSE),0)</f>
        <v>Active</v>
      </c>
      <c r="E55" s="12">
        <f>IFERROR(VLOOKUP(A55,Employee_Master!$A$4:$I$63,7,FALSE),0)</f>
        <v>4500000</v>
      </c>
      <c r="F55" s="12">
        <f>IFERROR(VLOOKUP(A55,Employee_Master!$A$4:$I$63,8,FALSE),0)</f>
        <v>500000</v>
      </c>
      <c r="G55" s="11">
        <f>IFERROR(VLOOKUP(A55,Attendance_Current!$A$4:$F$63,5,FALSE),0)</f>
        <v>5</v>
      </c>
      <c r="H55" s="12">
        <f>IFERROR(VLOOKUP(A55,Employee_Master!$A$4:$I$63,9,FALSE),0)</f>
        <v>35000</v>
      </c>
      <c r="I55" s="12">
        <f>H55*G55</f>
        <v>175000</v>
      </c>
      <c r="J55" s="11">
        <f>IFERROR(VLOOKUP(A55,Attendance_Current!$A$4:$F$63,3,FALSE),0)</f>
        <v>0</v>
      </c>
      <c r="K55" s="12">
        <f>IF(J55=0,250000,0)</f>
        <v>250000</v>
      </c>
      <c r="L55" s="12">
        <f>IFERROR(VLOOKUP(A55,Prior_Month_Payroll!$A$4:$I$63,7,FALSE),0)</f>
        <v>75000</v>
      </c>
      <c r="M55" s="12">
        <f>SUM(E55:F55,I55,K55)</f>
        <v>5425000</v>
      </c>
      <c r="N55" s="12">
        <f>M55-L55</f>
        <v>5350000</v>
      </c>
      <c r="O55" s="12">
        <f>IFERROR(VLOOKUP(A55,Prior_Month_Payroll!$A$4:$I$63,9,FALSE),0)</f>
        <v>5350000</v>
      </c>
      <c r="P55" s="12">
        <f>N55-O55</f>
        <v>0</v>
      </c>
      <c r="Q55" s="13">
        <f>IFERROR(P55/O55,0)</f>
        <v>0</v>
      </c>
      <c r="R55" s="11" t="str">
        <f>IF(D55&lt;&gt;"active","check status",IF(G55&gt;40,"Check OT",IF(ABS(Q55)&gt;15%,"check variance","OK")))</f>
        <v>OK</v>
      </c>
    </row>
    <row r="56" spans="1:18" s="11" customFormat="1">
      <c r="A56" s="11" t="s">
        <v>129</v>
      </c>
      <c r="B56" s="11" t="str">
        <f>IFERROR(VLOOKUP(A56,Employee_Master!$A$4:$I$63,2,FALSE),0)</f>
        <v>Employee 054</v>
      </c>
      <c r="C56" s="11" t="str">
        <f>IFERROR(VLOOKUP(A56,Employee_Master!$A$4:$I$63,3,FALSE),0)</f>
        <v>HR</v>
      </c>
      <c r="D56" s="11" t="str">
        <f>IFERROR(VLOOKUP(A56,Employee_Master!$A$4:$I$63,4,FALSE),0)</f>
        <v>Active</v>
      </c>
      <c r="E56" s="12">
        <f>IFERROR(VLOOKUP(A56,Employee_Master!$A$4:$I$63,7,FALSE),0)</f>
        <v>5200000</v>
      </c>
      <c r="F56" s="12">
        <f>IFERROR(VLOOKUP(A56,Employee_Master!$A$4:$I$63,8,FALSE),0)</f>
        <v>700000</v>
      </c>
      <c r="G56" s="11">
        <f>IFERROR(VLOOKUP(A56,Attendance_Current!$A$4:$F$63,5,FALSE),0)</f>
        <v>10</v>
      </c>
      <c r="H56" s="12">
        <f>IFERROR(VLOOKUP(A56,Employee_Master!$A$4:$I$63,9,FALSE),0)</f>
        <v>45000</v>
      </c>
      <c r="I56" s="12">
        <f>H56*G56</f>
        <v>450000</v>
      </c>
      <c r="J56" s="11">
        <f>IFERROR(VLOOKUP(A56,Attendance_Current!$A$4:$F$63,3,FALSE),0)</f>
        <v>0</v>
      </c>
      <c r="K56" s="12">
        <f>IF(J56=0,250000,0)</f>
        <v>250000</v>
      </c>
      <c r="L56" s="12">
        <f>IFERROR(VLOOKUP(A56,Prior_Month_Payroll!$A$4:$I$63,7,FALSE),0)</f>
        <v>0</v>
      </c>
      <c r="M56" s="12">
        <f>SUM(E56:F56,I56,K56)</f>
        <v>6600000</v>
      </c>
      <c r="N56" s="12">
        <f>M56-L56</f>
        <v>6600000</v>
      </c>
      <c r="O56" s="12">
        <f>IFERROR(VLOOKUP(A56,Prior_Month_Payroll!$A$4:$I$63,9,FALSE),0)</f>
        <v>6555000</v>
      </c>
      <c r="P56" s="12">
        <f>N56-O56</f>
        <v>45000</v>
      </c>
      <c r="Q56" s="13">
        <f>IFERROR(P56/O56,0)</f>
        <v>6.8649885583524023E-3</v>
      </c>
      <c r="R56" s="11" t="str">
        <f>IF(D56&lt;&gt;"active","check status",IF(G56&gt;40,"Check OT",IF(ABS(Q56)&gt;15%,"check variance","OK")))</f>
        <v>OK</v>
      </c>
    </row>
    <row r="57" spans="1:18" s="11" customFormat="1">
      <c r="A57" s="11" t="s">
        <v>131</v>
      </c>
      <c r="B57" s="11" t="str">
        <f>IFERROR(VLOOKUP(A57,Employee_Master!$A$4:$I$63,2,FALSE),0)</f>
        <v>Employee 055</v>
      </c>
      <c r="C57" s="11" t="str">
        <f>IFERROR(VLOOKUP(A57,Employee_Master!$A$4:$I$63,3,FALSE),0)</f>
        <v>Production</v>
      </c>
      <c r="D57" s="11" t="str">
        <f>IFERROR(VLOOKUP(A57,Employee_Master!$A$4:$I$63,4,FALSE),0)</f>
        <v>Active</v>
      </c>
      <c r="E57" s="12">
        <f>IFERROR(VLOOKUP(A57,Employee_Master!$A$4:$I$63,7,FALSE),0)</f>
        <v>6650000</v>
      </c>
      <c r="F57" s="12">
        <f>IFERROR(VLOOKUP(A57,Employee_Master!$A$4:$I$63,8,FALSE),0)</f>
        <v>950000</v>
      </c>
      <c r="G57" s="11">
        <f>IFERROR(VLOOKUP(A57,Attendance_Current!$A$4:$F$63,5,FALSE),0)</f>
        <v>15</v>
      </c>
      <c r="H57" s="12">
        <f>IFERROR(VLOOKUP(A57,Employee_Master!$A$4:$I$63,9,FALSE),0)</f>
        <v>55000</v>
      </c>
      <c r="I57" s="12">
        <f>H57*G57</f>
        <v>825000</v>
      </c>
      <c r="J57" s="11">
        <f>IFERROR(VLOOKUP(A57,Attendance_Current!$A$4:$F$63,3,FALSE),0)</f>
        <v>0</v>
      </c>
      <c r="K57" s="12">
        <f>IF(J57=0,250000,0)</f>
        <v>250000</v>
      </c>
      <c r="L57" s="12">
        <f>IFERROR(VLOOKUP(A57,Prior_Month_Payroll!$A$4:$I$63,7,FALSE),0)</f>
        <v>75000</v>
      </c>
      <c r="M57" s="12">
        <f>SUM(E57:F57,I57,K57)</f>
        <v>8675000</v>
      </c>
      <c r="N57" s="12">
        <f>M57-L57</f>
        <v>8600000</v>
      </c>
      <c r="O57" s="12">
        <f>IFERROR(VLOOKUP(A57,Prior_Month_Payroll!$A$4:$I$63,9,FALSE),0)</f>
        <v>8490000</v>
      </c>
      <c r="P57" s="12">
        <f>N57-O57</f>
        <v>110000</v>
      </c>
      <c r="Q57" s="13">
        <f>IFERROR(P57/O57,0)</f>
        <v>1.2956419316843345E-2</v>
      </c>
      <c r="R57" s="11" t="str">
        <f>IF(D57&lt;&gt;"active","check status",IF(G57&gt;40,"Check OT",IF(ABS(Q57)&gt;15%,"check variance","OK")))</f>
        <v>OK</v>
      </c>
    </row>
    <row r="58" spans="1:18" s="11" customFormat="1">
      <c r="A58" s="11" t="s">
        <v>133</v>
      </c>
      <c r="B58" s="11" t="str">
        <f>IFERROR(VLOOKUP(A58,Employee_Master!$A$4:$I$63,2,FALSE),0)</f>
        <v>Employee 056</v>
      </c>
      <c r="C58" s="11" t="str">
        <f>IFERROR(VLOOKUP(A58,Employee_Master!$A$4:$I$63,3,FALSE),0)</f>
        <v>Quality Control</v>
      </c>
      <c r="D58" s="11" t="str">
        <f>IFERROR(VLOOKUP(A58,Employee_Master!$A$4:$I$63,4,FALSE),0)</f>
        <v>Active</v>
      </c>
      <c r="E58" s="12">
        <f>IFERROR(VLOOKUP(A58,Employee_Master!$A$4:$I$63,7,FALSE),0)</f>
        <v>8300000</v>
      </c>
      <c r="F58" s="12">
        <f>IFERROR(VLOOKUP(A58,Employee_Master!$A$4:$I$63,8,FALSE),0)</f>
        <v>1200000</v>
      </c>
      <c r="G58" s="11">
        <f>IFERROR(VLOOKUP(A58,Attendance_Current!$A$4:$F$63,5,FALSE),0)</f>
        <v>20</v>
      </c>
      <c r="H58" s="12">
        <f>IFERROR(VLOOKUP(A58,Employee_Master!$A$4:$I$63,9,FALSE),0)</f>
        <v>70000</v>
      </c>
      <c r="I58" s="12">
        <f>H58*G58</f>
        <v>1400000</v>
      </c>
      <c r="J58" s="11">
        <f>IFERROR(VLOOKUP(A58,Attendance_Current!$A$4:$F$63,3,FALSE),0)</f>
        <v>1</v>
      </c>
      <c r="K58" s="12">
        <f>IF(J58=0,250000,0)</f>
        <v>0</v>
      </c>
      <c r="L58" s="12">
        <f>IFERROR(VLOOKUP(A58,Prior_Month_Payroll!$A$4:$I$63,7,FALSE),0)</f>
        <v>100000</v>
      </c>
      <c r="M58" s="12">
        <f>SUM(E58:F58,I58,K58)</f>
        <v>10900000</v>
      </c>
      <c r="N58" s="12">
        <f>M58-L58</f>
        <v>10800000</v>
      </c>
      <c r="O58" s="12">
        <f>IFERROR(VLOOKUP(A58,Prior_Month_Payroll!$A$4:$I$63,9,FALSE),0)</f>
        <v>10590000</v>
      </c>
      <c r="P58" s="12">
        <f>N58-O58</f>
        <v>210000</v>
      </c>
      <c r="Q58" s="13">
        <f>IFERROR(P58/O58,0)</f>
        <v>1.9830028328611898E-2</v>
      </c>
      <c r="R58" s="11" t="str">
        <f>IF(D58&lt;&gt;"active","check status",IF(G58&gt;40,"Check OT",IF(ABS(Q58)&gt;15%,"check variance","OK")))</f>
        <v>OK</v>
      </c>
    </row>
    <row r="59" spans="1:18" s="11" customFormat="1">
      <c r="A59" s="11" t="s">
        <v>135</v>
      </c>
      <c r="B59" s="11" t="str">
        <f>IFERROR(VLOOKUP(A59,Employee_Master!$A$4:$I$63,2,FALSE),0)</f>
        <v>Employee 057</v>
      </c>
      <c r="C59" s="11" t="str">
        <f>IFERROR(VLOOKUP(A59,Employee_Master!$A$4:$I$63,3,FALSE),0)</f>
        <v>Warehouse</v>
      </c>
      <c r="D59" s="11" t="str">
        <f>IFERROR(VLOOKUP(A59,Employee_Master!$A$4:$I$63,4,FALSE),0)</f>
        <v>Resigned</v>
      </c>
      <c r="E59" s="12">
        <f>IFERROR(VLOOKUP(A59,Employee_Master!$A$4:$I$63,7,FALSE),0)</f>
        <v>4200000</v>
      </c>
      <c r="F59" s="12">
        <f>IFERROR(VLOOKUP(A59,Employee_Master!$A$4:$I$63,8,FALSE),0)</f>
        <v>500000</v>
      </c>
      <c r="G59" s="11">
        <f>IFERROR(VLOOKUP(A59,Attendance_Current!$A$4:$F$63,5,FALSE),0)</f>
        <v>25</v>
      </c>
      <c r="H59" s="12">
        <f>IFERROR(VLOOKUP(A59,Employee_Master!$A$4:$I$63,9,FALSE),0)</f>
        <v>35000</v>
      </c>
      <c r="I59" s="12">
        <f>H59*G59</f>
        <v>875000</v>
      </c>
      <c r="J59" s="11">
        <f>IFERROR(VLOOKUP(A59,Attendance_Current!$A$4:$F$63,3,FALSE),0)</f>
        <v>0</v>
      </c>
      <c r="K59" s="12">
        <f>IF(J59=0,250000,0)</f>
        <v>250000</v>
      </c>
      <c r="L59" s="12">
        <f>IFERROR(VLOOKUP(A59,Prior_Month_Payroll!$A$4:$I$63,7,FALSE),0)</f>
        <v>75000</v>
      </c>
      <c r="M59" s="12">
        <f>SUM(E59:F59,I59,K59)</f>
        <v>5825000</v>
      </c>
      <c r="N59" s="12">
        <f>M59-L59</f>
        <v>5750000</v>
      </c>
      <c r="O59" s="12">
        <f>IFERROR(VLOOKUP(A59,Prior_Month_Payroll!$A$4:$I$63,9,FALSE),0)</f>
        <v>5750000</v>
      </c>
      <c r="P59" s="12">
        <f>N59-O59</f>
        <v>0</v>
      </c>
      <c r="Q59" s="13">
        <f>IFERROR(P59/O59,0)</f>
        <v>0</v>
      </c>
      <c r="R59" s="11" t="str">
        <f>IF(D59&lt;&gt;"active","check status",IF(G59&gt;40,"Check OT",IF(ABS(Q59)&gt;15%,"check variance","OK")))</f>
        <v>check status</v>
      </c>
    </row>
    <row r="60" spans="1:18" s="11" customFormat="1">
      <c r="A60" s="11" t="s">
        <v>137</v>
      </c>
      <c r="B60" s="11" t="str">
        <f>IFERROR(VLOOKUP(A60,Employee_Master!$A$4:$I$63,2,FALSE),0)</f>
        <v>Employee 058</v>
      </c>
      <c r="C60" s="11" t="str">
        <f>IFERROR(VLOOKUP(A60,Employee_Master!$A$4:$I$63,3,FALSE),0)</f>
        <v>Engineering</v>
      </c>
      <c r="D60" s="11" t="str">
        <f>IFERROR(VLOOKUP(A60,Employee_Master!$A$4:$I$63,4,FALSE),0)</f>
        <v>Resigned</v>
      </c>
      <c r="E60" s="12">
        <f>IFERROR(VLOOKUP(A60,Employee_Master!$A$4:$I$63,7,FALSE),0)</f>
        <v>5350000</v>
      </c>
      <c r="F60" s="12">
        <f>IFERROR(VLOOKUP(A60,Employee_Master!$A$4:$I$63,8,FALSE),0)</f>
        <v>700000</v>
      </c>
      <c r="G60" s="11">
        <f>IFERROR(VLOOKUP(A60,Attendance_Current!$A$4:$F$63,5,FALSE),0)</f>
        <v>4</v>
      </c>
      <c r="H60" s="12">
        <f>IFERROR(VLOOKUP(A60,Employee_Master!$A$4:$I$63,9,FALSE),0)</f>
        <v>45000</v>
      </c>
      <c r="I60" s="12">
        <f>H60*G60</f>
        <v>180000</v>
      </c>
      <c r="J60" s="11">
        <f>IFERROR(VLOOKUP(A60,Attendance_Current!$A$4:$F$63,3,FALSE),0)</f>
        <v>0</v>
      </c>
      <c r="K60" s="12">
        <f>IF(J60=0,250000,0)</f>
        <v>250000</v>
      </c>
      <c r="L60" s="12">
        <f>IFERROR(VLOOKUP(A60,Prior_Month_Payroll!$A$4:$I$63,7,FALSE),0)</f>
        <v>0</v>
      </c>
      <c r="M60" s="12">
        <f>SUM(E60:F60,I60,K60)</f>
        <v>6480000</v>
      </c>
      <c r="N60" s="12">
        <f>M60-L60</f>
        <v>6480000</v>
      </c>
      <c r="O60" s="12">
        <f>IFERROR(VLOOKUP(A60,Prior_Month_Payroll!$A$4:$I$63,9,FALSE),0)</f>
        <v>6435000</v>
      </c>
      <c r="P60" s="12">
        <f>N60-O60</f>
        <v>45000</v>
      </c>
      <c r="Q60" s="13">
        <f>IFERROR(P60/O60,0)</f>
        <v>6.993006993006993E-3</v>
      </c>
      <c r="R60" s="11" t="str">
        <f>IF(D60&lt;&gt;"active","check status",IF(G60&gt;40,"Check OT",IF(ABS(Q60)&gt;15%,"check variance","OK")))</f>
        <v>check status</v>
      </c>
    </row>
    <row r="61" spans="1:18" s="11" customFormat="1">
      <c r="A61" s="11" t="s">
        <v>139</v>
      </c>
      <c r="B61" s="11" t="str">
        <f>IFERROR(VLOOKUP(A61,Employee_Master!$A$4:$I$63,2,FALSE),0)</f>
        <v>Employee 059</v>
      </c>
      <c r="C61" s="11" t="str">
        <f>IFERROR(VLOOKUP(A61,Employee_Master!$A$4:$I$63,3,FALSE),0)</f>
        <v>Finance</v>
      </c>
      <c r="D61" s="11" t="str">
        <f>IFERROR(VLOOKUP(A61,Employee_Master!$A$4:$I$63,4,FALSE),0)</f>
        <v>New Joiner</v>
      </c>
      <c r="E61" s="12">
        <f>IFERROR(VLOOKUP(A61,Employee_Master!$A$4:$I$63,7,FALSE),0)</f>
        <v>6800000</v>
      </c>
      <c r="F61" s="12">
        <f>IFERROR(VLOOKUP(A61,Employee_Master!$A$4:$I$63,8,FALSE),0)</f>
        <v>950000</v>
      </c>
      <c r="G61" s="11">
        <f>IFERROR(VLOOKUP(A61,Attendance_Current!$A$4:$F$63,5,FALSE),0)</f>
        <v>9</v>
      </c>
      <c r="H61" s="12">
        <f>IFERROR(VLOOKUP(A61,Employee_Master!$A$4:$I$63,9,FALSE),0)</f>
        <v>55000</v>
      </c>
      <c r="I61" s="12">
        <f>H61*G61</f>
        <v>495000</v>
      </c>
      <c r="J61" s="11">
        <f>IFERROR(VLOOKUP(A61,Attendance_Current!$A$4:$F$63,3,FALSE),0)</f>
        <v>0</v>
      </c>
      <c r="K61" s="12">
        <f>IF(J61=0,250000,0)</f>
        <v>250000</v>
      </c>
      <c r="L61" s="12">
        <f>IFERROR(VLOOKUP(A61,Prior_Month_Payroll!$A$4:$I$63,7,FALSE),0)</f>
        <v>75000</v>
      </c>
      <c r="M61" s="12">
        <f>SUM(E61:F61,I61,K61)</f>
        <v>8495000</v>
      </c>
      <c r="N61" s="12">
        <f>M61-L61</f>
        <v>8420000</v>
      </c>
      <c r="O61" s="12">
        <f>IFERROR(VLOOKUP(A61,Prior_Month_Payroll!$A$4:$I$63,9,FALSE),0)</f>
        <v>8310000</v>
      </c>
      <c r="P61" s="12">
        <f>N61-O61</f>
        <v>110000</v>
      </c>
      <c r="Q61" s="13">
        <f>IFERROR(P61/O61,0)</f>
        <v>1.3237063778580024E-2</v>
      </c>
      <c r="R61" s="11" t="str">
        <f>IF(D61&lt;&gt;"active","check status",IF(G61&gt;40,"Check OT",IF(ABS(Q61)&gt;15%,"check variance","OK")))</f>
        <v>check status</v>
      </c>
    </row>
    <row r="62" spans="1:18" s="11" customFormat="1">
      <c r="A62" s="11" t="s">
        <v>141</v>
      </c>
      <c r="B62" s="11" t="str">
        <f>IFERROR(VLOOKUP(A62,Employee_Master!$A$4:$I$63,2,FALSE),0)</f>
        <v>Employee 060</v>
      </c>
      <c r="C62" s="11" t="str">
        <f>IFERROR(VLOOKUP(A62,Employee_Master!$A$4:$I$63,3,FALSE),0)</f>
        <v>HR</v>
      </c>
      <c r="D62" s="11" t="str">
        <f>IFERROR(VLOOKUP(A62,Employee_Master!$A$4:$I$63,4,FALSE),0)</f>
        <v>New Joiner</v>
      </c>
      <c r="E62" s="12">
        <f>IFERROR(VLOOKUP(A62,Employee_Master!$A$4:$I$63,7,FALSE),0)</f>
        <v>8000000</v>
      </c>
      <c r="F62" s="12">
        <f>IFERROR(VLOOKUP(A62,Employee_Master!$A$4:$I$63,8,FALSE),0)</f>
        <v>1200000</v>
      </c>
      <c r="G62" s="11">
        <f>IFERROR(VLOOKUP(A62,Attendance_Current!$A$4:$F$63,5,FALSE),0)</f>
        <v>14</v>
      </c>
      <c r="H62" s="12">
        <f>IFERROR(VLOOKUP(A62,Employee_Master!$A$4:$I$63,9,FALSE),0)</f>
        <v>70000</v>
      </c>
      <c r="I62" s="12">
        <f>H62*G62</f>
        <v>980000</v>
      </c>
      <c r="J62" s="11">
        <f>IFERROR(VLOOKUP(A62,Attendance_Current!$A$4:$F$63,3,FALSE),0)</f>
        <v>0</v>
      </c>
      <c r="K62" s="12">
        <f>IF(J62=0,250000,0)</f>
        <v>250000</v>
      </c>
      <c r="L62" s="12">
        <f>IFERROR(VLOOKUP(A62,Prior_Month_Payroll!$A$4:$I$63,7,FALSE),0)</f>
        <v>0</v>
      </c>
      <c r="M62" s="12">
        <f>SUM(E62:F62,I62,K62)</f>
        <v>10430000</v>
      </c>
      <c r="N62" s="12">
        <f>M62-L62</f>
        <v>10430000</v>
      </c>
      <c r="O62" s="12">
        <f>IFERROR(VLOOKUP(A62,Prior_Month_Payroll!$A$4:$I$63,9,FALSE),0)</f>
        <v>10220000</v>
      </c>
      <c r="P62" s="12">
        <f>N62-O62</f>
        <v>210000</v>
      </c>
      <c r="Q62" s="13">
        <f>IFERROR(P62/O62,0)</f>
        <v>2.0547945205479451E-2</v>
      </c>
      <c r="R62" s="11" t="str">
        <f>IF(D62&lt;&gt;"active","check status",IF(G62&gt;40,"Check OT",IF(ABS(Q62)&gt;15%,"check variance","OK")))</f>
        <v>check status</v>
      </c>
    </row>
  </sheetData>
  <mergeCells count="1">
    <mergeCell ref="A1:R1"/>
  </mergeCells>
  <conditionalFormatting sqref="P3:P62">
    <cfRule type="expression" dxfId="2" priority="1">
      <formula>ABS(P3)&gt;=1000000</formula>
    </cfRule>
  </conditionalFormatting>
  <conditionalFormatting sqref="Q3:Q62">
    <cfRule type="expression" dxfId="1" priority="2">
      <formula>ABS(Q3)&gt;=0.15</formula>
    </cfRule>
  </conditionalFormatting>
  <conditionalFormatting sqref="R3:R62">
    <cfRule type="expression" dxfId="0" priority="3">
      <formula>R3&lt;&gt;"OK"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zoomScale="60" zoomScaleNormal="60" workbookViewId="0">
      <selection activeCell="J22" sqref="J22"/>
    </sheetView>
  </sheetViews>
  <sheetFormatPr defaultRowHeight="13.8"/>
  <cols>
    <col min="1" max="1" width="20" customWidth="1"/>
    <col min="2" max="2" width="12" customWidth="1"/>
    <col min="3" max="4" width="16" customWidth="1"/>
    <col min="5" max="5" width="15" customWidth="1"/>
    <col min="6" max="6" width="12" customWidth="1"/>
    <col min="7" max="7" width="16" customWidth="1"/>
    <col min="8" max="8" width="14" customWidth="1"/>
    <col min="9" max="9" width="16" customWidth="1"/>
    <col min="10" max="10" width="159.8984375" bestFit="1" customWidth="1"/>
  </cols>
  <sheetData>
    <row r="1" spans="1:10" ht="19.2" customHeight="1">
      <c r="A1" s="7" t="s">
        <v>160</v>
      </c>
      <c r="B1" s="8"/>
      <c r="C1" s="8"/>
      <c r="D1" s="8"/>
      <c r="E1" s="8"/>
      <c r="F1" s="8"/>
      <c r="G1" s="8"/>
      <c r="H1" s="8"/>
      <c r="I1" s="8"/>
      <c r="J1" s="8"/>
    </row>
    <row r="3" spans="1:10">
      <c r="A3" s="1" t="s">
        <v>4</v>
      </c>
      <c r="B3" s="1" t="s">
        <v>161</v>
      </c>
      <c r="C3" s="1" t="s">
        <v>162</v>
      </c>
      <c r="D3" s="1" t="s">
        <v>156</v>
      </c>
      <c r="E3" s="1" t="s">
        <v>157</v>
      </c>
      <c r="F3" s="1" t="s">
        <v>158</v>
      </c>
      <c r="G3" s="1" t="s">
        <v>163</v>
      </c>
      <c r="H3" s="1" t="s">
        <v>151</v>
      </c>
      <c r="I3" s="1" t="s">
        <v>164</v>
      </c>
      <c r="J3" s="1" t="s">
        <v>165</v>
      </c>
    </row>
    <row r="4" spans="1:10" s="14" customFormat="1">
      <c r="A4" s="14" t="s">
        <v>12</v>
      </c>
      <c r="B4" s="14">
        <f>COUNTIFS(Payroll_Reconciliation!$C$3:$C$62,A4,Payroll_Reconciliation!$D$3:$D$62,"active")</f>
        <v>9</v>
      </c>
      <c r="C4" s="15">
        <f>SUMIFS(Payroll_Reconciliation!$N$3:$N$62,Payroll_Reconciliation!$C$3:$C$62,A4)</f>
        <v>69275000</v>
      </c>
      <c r="D4" s="15">
        <f>SUMIFS(Payroll_Reconciliation!$O$3:$O$62,Payroll_Reconciliation!$C$3:$C$62,A4)</f>
        <v>68725000</v>
      </c>
      <c r="E4" s="15">
        <f>SUMIFS(Payroll_Reconciliation!$P$3:$P$62,Payroll_Reconciliation!$C$3:$C$62,A4)</f>
        <v>550000</v>
      </c>
      <c r="F4" s="16">
        <f>IFERROR(E4/D4,0)</f>
        <v>8.0029101491451444E-3</v>
      </c>
      <c r="G4" s="14">
        <f>SUMIFS(Payroll_Reconciliation!$G$3:$G$62,Payroll_Reconciliation!$C$3:$C$62,A4)</f>
        <v>119</v>
      </c>
      <c r="H4" s="15">
        <f>SUMIFS(Payroll_Reconciliation!$I$3:$I$62,Payroll_Reconciliation!$C$3:$C$62,A4)</f>
        <v>5625000</v>
      </c>
      <c r="I4" s="14">
        <f>COUNTIFS(Payroll_Reconciliation!$C$3:$C$62,A4,Payroll_Reconciliation!$R$3:$R$62,"&lt;&gt;OK")</f>
        <v>1</v>
      </c>
      <c r="J4" s="14" t="s">
        <v>168</v>
      </c>
    </row>
    <row r="5" spans="1:10" s="14" customFormat="1">
      <c r="A5" s="14" t="s">
        <v>17</v>
      </c>
      <c r="B5" s="14">
        <f>COUNTIFS(Payroll_Reconciliation!$C$3:$C$62,A5,Payroll_Reconciliation!$D$3:$D$62,"active")</f>
        <v>10</v>
      </c>
      <c r="C5" s="15">
        <f>SUMIFS(Payroll_Reconciliation!$N$3:$N$62,Payroll_Reconciliation!$C$3:$C$62,A5)</f>
        <v>90760000</v>
      </c>
      <c r="D5" s="15">
        <f>SUMIFS(Payroll_Reconciliation!$O$3:$O$62,Payroll_Reconciliation!$C$3:$C$62,A5)</f>
        <v>89530000</v>
      </c>
      <c r="E5" s="15">
        <f>SUMIFS(Payroll_Reconciliation!$P$3:$P$62,Payroll_Reconciliation!$C$3:$C$62,A5)</f>
        <v>1230000</v>
      </c>
      <c r="F5" s="16">
        <f t="shared" ref="F5:F9" si="0">IFERROR(E5/D5,0)</f>
        <v>1.373841170557355E-2</v>
      </c>
      <c r="G5" s="14">
        <f>SUMIFS(Payroll_Reconciliation!$G$3:$G$62,Payroll_Reconciliation!$C$3:$C$62,A5)</f>
        <v>168</v>
      </c>
      <c r="H5" s="15">
        <f>SUMIFS(Payroll_Reconciliation!$I$3:$I$62,Payroll_Reconciliation!$C$3:$C$62,A5)</f>
        <v>10460000</v>
      </c>
      <c r="I5" s="14">
        <f>COUNTIFS(Payroll_Reconciliation!$C$3:$C$62,A5,Payroll_Reconciliation!$R$3:$R$62,"&lt;&gt;OK")</f>
        <v>1</v>
      </c>
      <c r="J5" s="14" t="s">
        <v>172</v>
      </c>
    </row>
    <row r="6" spans="1:10" s="14" customFormat="1">
      <c r="A6" s="14" t="s">
        <v>21</v>
      </c>
      <c r="B6" s="14">
        <f>COUNTIFS(Payroll_Reconciliation!$C$3:$C$62,A6,Payroll_Reconciliation!$D$3:$D$62,"active")</f>
        <v>9</v>
      </c>
      <c r="C6" s="15">
        <f>SUMIFS(Payroll_Reconciliation!$N$3:$N$62,Payroll_Reconciliation!$C$3:$C$62,A6)</f>
        <v>68870000</v>
      </c>
      <c r="D6" s="15">
        <f>SUMIFS(Payroll_Reconciliation!$O$3:$O$62,Payroll_Reconciliation!$C$3:$C$62,A6)</f>
        <v>68320000</v>
      </c>
      <c r="E6" s="15">
        <f>SUMIFS(Payroll_Reconciliation!$P$3:$P$62,Payroll_Reconciliation!$C$3:$C$62,A6)</f>
        <v>550000</v>
      </c>
      <c r="F6" s="16">
        <f t="shared" si="0"/>
        <v>8.0503512880562064E-3</v>
      </c>
      <c r="G6" s="14">
        <f>SUMIFS(Payroll_Reconciliation!$G$3:$G$62,Payroll_Reconciliation!$C$3:$C$62,A6)</f>
        <v>148</v>
      </c>
      <c r="H6" s="15">
        <f>SUMIFS(Payroll_Reconciliation!$I$3:$I$62,Payroll_Reconciliation!$C$3:$C$62,A6)</f>
        <v>6720000</v>
      </c>
      <c r="I6" s="14">
        <f>COUNTIFS(Payroll_Reconciliation!$C$3:$C$62,A6,Payroll_Reconciliation!$R$3:$R$62,"&lt;&gt;OK")</f>
        <v>1</v>
      </c>
      <c r="J6" s="14" t="s">
        <v>173</v>
      </c>
    </row>
    <row r="7" spans="1:10" s="14" customFormat="1">
      <c r="A7" s="14" t="s">
        <v>25</v>
      </c>
      <c r="B7" s="14">
        <f>COUNTIFS(Payroll_Reconciliation!$C$3:$C$62,A7,Payroll_Reconciliation!$D$3:$D$62,"active")</f>
        <v>8</v>
      </c>
      <c r="C7" s="15">
        <f>SUMIFS(Payroll_Reconciliation!$N$3:$N$62,Payroll_Reconciliation!$C$3:$C$62,A7)</f>
        <v>85710000</v>
      </c>
      <c r="D7" s="15">
        <f>SUMIFS(Payroll_Reconciliation!$O$3:$O$62,Payroll_Reconciliation!$C$3:$C$62,A7)</f>
        <v>84715000</v>
      </c>
      <c r="E7" s="15">
        <f>SUMIFS(Payroll_Reconciliation!$P$3:$P$62,Payroll_Reconciliation!$C$3:$C$62,A7)</f>
        <v>995000</v>
      </c>
      <c r="F7" s="16">
        <f t="shared" si="0"/>
        <v>1.174526353066163E-2</v>
      </c>
      <c r="G7" s="14">
        <f>SUMIFS(Payroll_Reconciliation!$G$3:$G$62,Payroll_Reconciliation!$C$3:$C$62,A7)</f>
        <v>118</v>
      </c>
      <c r="H7" s="15">
        <f>SUMIFS(Payroll_Reconciliation!$I$3:$I$62,Payroll_Reconciliation!$C$3:$C$62,A7)</f>
        <v>6560000</v>
      </c>
      <c r="I7" s="14">
        <f>COUNTIFS(Payroll_Reconciliation!$C$3:$C$62,A7,Payroll_Reconciliation!$R$3:$R$62,"&lt;&gt;OK")</f>
        <v>2</v>
      </c>
      <c r="J7" s="14" t="s">
        <v>169</v>
      </c>
    </row>
    <row r="8" spans="1:10" s="14" customFormat="1">
      <c r="A8" s="14" t="s">
        <v>29</v>
      </c>
      <c r="B8" s="14">
        <f>COUNTIFS(Payroll_Reconciliation!$C$3:$C$62,A8,Payroll_Reconciliation!$D$3:$D$62,"active")</f>
        <v>9</v>
      </c>
      <c r="C8" s="15">
        <f>SUMIFS(Payroll_Reconciliation!$N$3:$N$62,Payroll_Reconciliation!$C$3:$C$62,A8)</f>
        <v>70140000</v>
      </c>
      <c r="D8" s="15">
        <f>SUMIFS(Payroll_Reconciliation!$O$3:$O$62,Payroll_Reconciliation!$C$3:$C$62,A8)</f>
        <v>69645000</v>
      </c>
      <c r="E8" s="15">
        <f>SUMIFS(Payroll_Reconciliation!$P$3:$P$62,Payroll_Reconciliation!$C$3:$C$62,A8)</f>
        <v>495000</v>
      </c>
      <c r="F8" s="16">
        <f t="shared" si="0"/>
        <v>7.1074736161964251E-3</v>
      </c>
      <c r="G8" s="14">
        <f>SUMIFS(Payroll_Reconciliation!$G$3:$G$62,Payroll_Reconciliation!$C$3:$C$62,A8)</f>
        <v>118</v>
      </c>
      <c r="H8" s="15">
        <f>SUMIFS(Payroll_Reconciliation!$I$3:$I$62,Payroll_Reconciliation!$C$3:$C$62,A8)</f>
        <v>4990000</v>
      </c>
      <c r="I8" s="14">
        <f>COUNTIFS(Payroll_Reconciliation!$C$3:$C$62,A8,Payroll_Reconciliation!$R$3:$R$62,"&lt;&gt;OK")</f>
        <v>1</v>
      </c>
      <c r="J8" s="14" t="s">
        <v>171</v>
      </c>
    </row>
    <row r="9" spans="1:10" s="14" customFormat="1">
      <c r="A9" s="14" t="s">
        <v>32</v>
      </c>
      <c r="B9" s="14">
        <f>COUNTIFS(Payroll_Reconciliation!$C$3:$C$62,A9,Payroll_Reconciliation!$D$3:$D$62,"active")</f>
        <v>8</v>
      </c>
      <c r="C9" s="15">
        <f>SUMIFS(Payroll_Reconciliation!$N$3:$N$62,Payroll_Reconciliation!$C$3:$C$62,A9)</f>
        <v>84570000</v>
      </c>
      <c r="D9" s="15">
        <f>SUMIFS(Payroll_Reconciliation!$O$3:$O$62,Payroll_Reconciliation!$C$3:$C$62,A9)</f>
        <v>83295000</v>
      </c>
      <c r="E9" s="15">
        <f>SUMIFS(Payroll_Reconciliation!$P$3:$P$62,Payroll_Reconciliation!$C$3:$C$62,A9)</f>
        <v>1275000</v>
      </c>
      <c r="F9" s="16">
        <f t="shared" si="0"/>
        <v>1.5307041238969926E-2</v>
      </c>
      <c r="G9" s="14">
        <f>SUMIFS(Payroll_Reconciliation!$G$3:$G$62,Payroll_Reconciliation!$C$3:$C$62,A9)</f>
        <v>116</v>
      </c>
      <c r="H9" s="15">
        <f>SUMIFS(Payroll_Reconciliation!$I$3:$I$62,Payroll_Reconciliation!$C$3:$C$62,A9)</f>
        <v>6920000</v>
      </c>
      <c r="I9" s="14">
        <f>COUNTIFS(Payroll_Reconciliation!$C$3:$C$62,A9,Payroll_Reconciliation!$R$3:$R$62,"&lt;&gt;OK")</f>
        <v>2</v>
      </c>
      <c r="J9" s="17" t="s">
        <v>170</v>
      </c>
    </row>
    <row r="10" spans="1:10">
      <c r="C10" s="3"/>
      <c r="D10" s="3"/>
      <c r="E10" s="3"/>
      <c r="H10" s="3"/>
    </row>
    <row r="11" spans="1:10">
      <c r="A11" s="4" t="s">
        <v>166</v>
      </c>
      <c r="B11" s="4">
        <f>SUM(B4:B9)</f>
        <v>53</v>
      </c>
      <c r="C11" s="5">
        <f>SUM(C4:C9)</f>
        <v>469325000</v>
      </c>
      <c r="D11" s="5">
        <f>SUM(D4:D9)</f>
        <v>464230000</v>
      </c>
      <c r="E11" s="5">
        <f>SUM(E4:E9)</f>
        <v>5095000</v>
      </c>
      <c r="F11" s="6">
        <f>E11/D11</f>
        <v>1.0975163173426965E-2</v>
      </c>
      <c r="G11" s="5">
        <f t="shared" ref="G11:I11" si="1">SUM(G4:G9)</f>
        <v>787</v>
      </c>
      <c r="H11" s="5">
        <f t="shared" si="1"/>
        <v>41275000</v>
      </c>
      <c r="I11" s="5">
        <f t="shared" si="1"/>
        <v>8</v>
      </c>
      <c r="J11" s="4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Project_overview</vt:lpstr>
      <vt:lpstr>Employee_Master</vt:lpstr>
      <vt:lpstr>Attendance_Current</vt:lpstr>
      <vt:lpstr>Prior_Month_Payroll</vt:lpstr>
      <vt:lpstr>Payroll_Reconciliation</vt:lpstr>
      <vt:lpstr>Manpower_Cost_Summary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oviendo ivana</cp:lastModifiedBy>
  <dcterms:modified xsi:type="dcterms:W3CDTF">2026-10-07T02:27:58Z</dcterms:modified>
</cp:coreProperties>
</file>